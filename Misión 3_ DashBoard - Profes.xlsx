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sitos" sheetId="1" r:id="rId5"/>
    <sheet state="visible" name="Recursos" sheetId="2" r:id="rId6"/>
    <sheet state="visible" name="1 - Pioneros" sheetId="3" r:id="rId7"/>
    <sheet state="visible" name="2 - Evolución" sheetId="4" r:id="rId8"/>
    <sheet state="visible" name="3 - Matriz" sheetId="5" r:id="rId9"/>
    <sheet state="visible" name="dashboard" sheetId="6" r:id="rId10"/>
    <sheet state="visible" name="Dashboard para video" sheetId="7" r:id="rId11"/>
    <sheet state="visible" name="Datos2" sheetId="8" r:id="rId12"/>
    <sheet state="visible" name="Tablas Dinámicas" sheetId="9" r:id="rId13"/>
  </sheets>
  <definedNames>
    <definedName hidden="1" localSheetId="2" name="Z_E41A0FDF_88F5_4500_B78C_CC8257FD3744_.wvu.FilterData">'1 - Pioneros'!$A$1:$L$215</definedName>
    <definedName hidden="1" localSheetId="3" name="Z_E41A0FDF_88F5_4500_B78C_CC8257FD3744_.wvu.FilterData">'2 - Evolución'!$A$1:$A$209</definedName>
    <definedName hidden="1" localSheetId="4" name="Z_E41A0FDF_88F5_4500_B78C_CC8257FD3744_.wvu.FilterData">'3 - Matriz'!$A$1:$J$275</definedName>
    <definedName hidden="1" localSheetId="4" name="Z_E41A0FDF_88F5_4500_B78C_CC8257FD3744_.wvu.FilterData">'3 - Matriz'!$E$1:$E$275</definedName>
    <definedName hidden="1" localSheetId="6" name="Z_E41A0FDF_88F5_4500_B78C_CC8257FD3744_.wvu.FilterData">'Dashboard para video'!$I$18</definedName>
    <definedName name="SlicerCache_Table_1_Col_1">#N/A</definedName>
    <definedName name="SlicerCache_Table_2_Col_1">#N/A</definedName>
    <definedName name="SlicerCache_Table_3_Col_5">#N/A</definedName>
    <definedName name="SlicerCache_Table_4_Col_1">#N/A</definedName>
  </definedNames>
  <calcPr/>
  <customWorkbookViews>
    <customWorkbookView activeSheetId="0" maximized="1" windowHeight="0" windowWidth="0" guid="{E41A0FDF-88F5-4500-B78C-CC8257FD3744}" name="Filtro 1"/>
  </customWorkbookViews>
  <pivotCaches>
    <pivotCache cacheId="0" r:id="rId14"/>
    <pivotCache cacheId="1" r:id="rId15"/>
    <pivotCache cacheId="2" r:id="rId16"/>
    <pivotCache cacheId="3" r:id="rId17"/>
    <pivotCache cacheId="4" r:id="rId18"/>
  </pivotCaches>
  <extLst>
    <ext uri="{46BE6895-7355-4a93-B00E-2C351335B9C9}">
      <x15:slicerCaches>
        <x14:slicerCache r:id="rId19"/>
        <x14:slicerCache r:id="rId20"/>
        <x14:slicerCache r:id="rId21"/>
        <x14:slicerCache r:id="rId22"/>
      </x15:slicerCaches>
    </ext>
  </extLst>
</workbook>
</file>

<file path=xl/sharedStrings.xml><?xml version="1.0" encoding="utf-8"?>
<sst xmlns="http://schemas.openxmlformats.org/spreadsheetml/2006/main" count="5925" uniqueCount="1970">
  <si>
    <t>REQUISITOS</t>
  </si>
  <si>
    <r>
      <rPr>
        <rFont val="Montserrat"/>
        <b/>
        <color theme="1"/>
      </rPr>
      <t xml:space="preserve">1. Los 5 Filtros Globales (Slicers)     
</t>
    </r>
    <r>
      <rPr>
        <rFont val="Montserrat"/>
        <b val="0"/>
        <color theme="1"/>
      </rPr>
      <t>Estos controles permitirán segmentar toda la información del dashboard dinámicamente.</t>
    </r>
  </si>
  <si>
    <r>
      <rPr>
        <rFont val="Montserrat"/>
        <color theme="1"/>
      </rPr>
      <t xml:space="preserve">
</t>
    </r>
    <r>
      <rPr>
        <rFont val="Montserrat"/>
        <b/>
        <color theme="1"/>
      </rPr>
      <t>1. Etapa Web / Era:</t>
    </r>
    <r>
      <rPr>
        <rFont val="Montserrat"/>
        <color theme="1"/>
      </rPr>
      <t xml:space="preserve"> Selector para elegir entre Web 1.0, Web 2.0, Web 3.0 (Tabla Web) o Siglo (Tabla Historia).                                                
</t>
    </r>
    <r>
      <rPr>
        <rFont val="Montserrat"/>
        <b/>
        <color theme="1"/>
      </rPr>
      <t>2. Categoría de Herramienta:</t>
    </r>
    <r>
      <rPr>
        <rFont val="Montserrat"/>
        <color theme="1"/>
      </rPr>
      <t xml:space="preserve"> Multiselección para filtrar por Tipo (Hardware, IA, Red Social, Fintech, etc.).                                                
</t>
    </r>
    <r>
      <rPr>
        <rFont val="Montserrat"/>
        <b/>
        <color theme="1"/>
      </rPr>
      <t>3. Nivel de Riesgo:</t>
    </r>
    <r>
      <rPr>
        <rFont val="Montserrat"/>
        <color theme="1"/>
      </rPr>
      <t xml:space="preserve"> Slider o Botones para filtrar plataformas con riesgo Alto (8-10), Medio (5-7) o Bajo (1-4).                                                
</t>
    </r>
    <r>
      <rPr>
        <rFont val="Montserrat"/>
        <b/>
        <color theme="1"/>
      </rPr>
      <t>4. País / Hegemonía:</t>
    </r>
    <r>
      <rPr>
        <rFont val="Montserrat"/>
        <color theme="1"/>
      </rPr>
      <t xml:space="preserve"> Filtro geográfico para ver innovaciones o apps de EE.UU., China, Europa, etc.                                                
</t>
    </r>
    <r>
      <rPr>
        <rFont val="Montserrat"/>
        <b/>
        <color theme="1"/>
      </rPr>
      <t xml:space="preserve">5. Edad Mínima Permitida: </t>
    </r>
    <r>
      <rPr>
        <rFont val="Montserrat"/>
        <color theme="1"/>
      </rPr>
      <t xml:space="preserve">Filtro vital para análisis de seguridad (Todas, +13, +18).                                                
                                       </t>
    </r>
  </si>
  <si>
    <r>
      <rPr>
        <rFont val="Montserrat"/>
        <b/>
        <color theme="1"/>
      </rPr>
      <t xml:space="preserve">2. Los 6 Indicadores Clave (KPIs)    
</t>
    </r>
    <r>
      <rPr>
        <rFont val="Montserrat"/>
        <b val="0"/>
        <color theme="1"/>
      </rPr>
      <t>Colocados en la parte superior ("Headlines") para dar un vistazo rápido al estado de la tecnología.</t>
    </r>
  </si>
  <si>
    <r>
      <rPr>
        <rFont val="Montserrat"/>
        <b/>
        <color theme="1"/>
      </rPr>
      <t xml:space="preserve">1. Masa Crítica Digital (Total Usuarios)        </t>
    </r>
    <r>
      <rPr>
        <rFont val="Montserrat"/>
        <color theme="1"/>
      </rPr>
      <t xml:space="preserve">                          
Dato: Suma de la columna `Usuarios (M)` (Tabla Riesgos).                                        
Objetivo: Muestra el alcance total acumulado de las plataformas analizadas.                             </t>
    </r>
  </si>
  <si>
    <r>
      <rPr>
        <rFont val="Montserrat"/>
        <b/>
        <color theme="1"/>
      </rPr>
      <t xml:space="preserve">2. Índice Promedio de Toxicidad     </t>
    </r>
    <r>
      <rPr>
        <rFont val="Montserrat"/>
        <color theme="1"/>
      </rPr>
      <t xml:space="preserve">                         
Dato: Promedio de la columna Riesgo (1-10), (Tabla Riesgos).                                
Formato: Número con semáforo de color (Verde &lt;4, Amarillo 4-7, Rojo &gt;7).                                                      </t>
    </r>
  </si>
  <si>
    <r>
      <rPr>
        <rFont val="Montserrat"/>
        <b/>
        <color theme="1"/>
      </rPr>
      <t xml:space="preserve">3. Tiempo de Vida "Capturado"   </t>
    </r>
    <r>
      <rPr>
        <rFont val="Montserrat"/>
        <color theme="1"/>
      </rPr>
      <t xml:space="preserve">                     
Dato: Promedio de la columna Uso Diario (min), (Tabla Riesgos).                                
Objetivo: Cuánto tiempo al día pasamos conectados en promedio a estas apps.                                </t>
    </r>
  </si>
  <si>
    <r>
      <rPr>
        <rFont val="Montserrat"/>
        <b/>
        <color theme="1"/>
      </rPr>
      <t xml:space="preserve">4. Velocidad de Innovación (Ratio Siglo XXI)                        
</t>
    </r>
    <r>
      <rPr>
        <rFont val="Montserrat"/>
        <color theme="1"/>
      </rPr>
      <t xml:space="preserve">Dato: % de filas en la Tabla Historia que pertenecen al `Siglo XXI` vs el total histórico.                                
Objetivo: Demostrar la aceleración tecnológica reciente.                                </t>
    </r>
  </si>
  <si>
    <r>
      <rPr>
        <rFont val="Montserrat"/>
        <b/>
        <color theme="1"/>
      </rPr>
      <t xml:space="preserve">5. Puntuación de Descentralización </t>
    </r>
    <r>
      <rPr>
        <rFont val="Montserrat"/>
        <color theme="1"/>
      </rPr>
      <t xml:space="preserve">                                       
Dato: Porcentaje de herramientas en la Tabla Web marcadas como `Baja` en la columna "Centralización".                                                
Objetivo:* Medir si estamos avanzando hacia una web más libre o más controlada.                                         </t>
    </r>
  </si>
  <si>
    <r>
      <rPr>
        <rFont val="Montserrat"/>
        <b/>
        <color theme="1"/>
      </rPr>
      <t>6. Impacto de la IA                                        
Dato:</t>
    </r>
    <r>
      <rPr>
        <rFont val="Montserrat"/>
        <color theme="1"/>
      </rPr>
      <t xml:space="preserve"> Recuento de filas donde `Tipo` o `Usuario` contenga "IA" (Tablas Historia y Web).                                        
</t>
    </r>
    <r>
      <rPr>
        <rFont val="Montserrat"/>
        <b/>
        <color theme="1"/>
      </rPr>
      <t>Objetivo:</t>
    </r>
    <r>
      <rPr>
        <rFont val="Montserrat"/>
        <color theme="1"/>
      </rPr>
      <t xml:space="preserve"> Medir la penetración actual de la Inteligencia Artificial.                                        
                                        </t>
    </r>
  </si>
  <si>
    <r>
      <rPr>
        <rFont val="Montserrat"/>
        <b/>
        <color theme="1"/>
      </rPr>
      <t xml:space="preserve">3. Las 7 Gráficas Visuales
</t>
    </r>
    <r>
      <rPr>
        <rFont val="Montserrat"/>
        <b val="0"/>
        <color theme="1"/>
      </rPr>
      <t>Distribuidas en el cuerpo del dashboard para profundizar en el análisis.</t>
    </r>
  </si>
  <si>
    <t>A. Sección Histórica y Evolutiva (Contexto)</t>
  </si>
  <si>
    <r>
      <rPr>
        <rFont val="Montserrat"/>
        <b/>
        <color theme="1"/>
      </rPr>
      <t xml:space="preserve">1. La Curva de la Aceleración (Gráfico de Línea / Área)    </t>
    </r>
    <r>
      <rPr>
        <rFont val="Montserrat"/>
        <color theme="1"/>
      </rPr>
      <t xml:space="preserve">                             
Fuente: Tabla Historia.                                        
Eje X: Décadas (agrupadas).                                        
Eje Y: Recuento de Hitos.                                        
Insight: Visualiza cómo la tecnología explota exponencialmente a partir de 1950.                                        </t>
    </r>
  </si>
  <si>
    <r>
      <rPr>
        <rFont val="Montserrat"/>
        <b/>
        <color theme="1"/>
      </rPr>
      <t xml:space="preserve">2. Evolución del Rol del Usuario (Gráfico de Barras Apiladas 100%)       </t>
    </r>
    <r>
      <rPr>
        <rFont val="Montserrat"/>
        <color theme="1"/>
      </rPr>
      <t xml:space="preserve">                                
Fuente: Tabla Web.                                        
Eje X: Etapa (Web 1.0, 2.0, 3.0).                                        
Leyenda: Tipo de Usuario (Pasivo, Prosumidor, Creador, IA).                                        
Insight: Muestra cómo pasamos de "solo leer" a "crear contenido" y ahora a "co-crear con IA".                                        </t>
    </r>
  </si>
  <si>
    <t>B. Sección de Mercado y Geopolítica</t>
  </si>
  <si>
    <r>
      <rPr>
        <rFont val="Montserrat"/>
        <b/>
        <color theme="1"/>
      </rPr>
      <t xml:space="preserve">3. El Mapa del Poder Tecnológico (Mapa Coroplético o Treemap)	</t>
    </r>
    <r>
      <rPr>
        <rFont val="Montserrat"/>
        <color theme="1"/>
      </rPr>
      <t xml:space="preserve">		
Fuente: Tablas Historia + Riesgos (Campo `País` y `Sede`).					
Dimensión: País.					
Valor: Recuento de Hitos + Cantidad de Plataformas actuales.					
insight: Evidencia la hegemonía de EE.UU. y el ascenso reciente de China (TikTok, Temu, etc.).					</t>
    </r>
  </si>
  <si>
    <r>
      <rPr>
        <rFont val="Montserrat"/>
        <b/>
        <color theme="1"/>
      </rPr>
      <t>4. Monetización de la Atención (Gráfico de Donut)</t>
    </r>
    <r>
      <rPr>
        <rFont val="Montserrat"/>
        <color theme="1"/>
      </rPr>
      <t xml:space="preserve">				
Fuente: Tabla Riesgos.						
Segmentos: Columna `Modelo` (Publicidad, Suscripción, Datos, Freemium).						
Insight: Revela que la mayoría de las apps "gratis" en realidad monetizan nuestros `Datos` o `Publicidad`.						</t>
    </r>
  </si>
  <si>
    <t>C. Sección de Impacto y Riesgos (Análisis Crítico)</t>
  </si>
  <si>
    <r>
      <rPr>
        <rFont val="Montserrat"/>
        <b/>
        <color theme="1"/>
      </rPr>
      <t xml:space="preserve">5. Matriz de Adicción vs. Riesgo (Scatter Plot / Dispersión)                                            
</t>
    </r>
    <r>
      <rPr>
        <rFont val="Montserrat"/>
        <color theme="1"/>
      </rPr>
      <t xml:space="preserve">                                                
Fuente: Tabla Riesgos.                                                
Eje X:* Uso Diario (min).                                                
Eje Y: Riesgo (1-10).                                                
Tamaño Burbuja:* Cantidad de Usuarios.                                                
Insight: Las burbujas grandes arriba a la derecha (ej. TikTok, Instagram) son las más peligrosas y adictivas.                                                </t>
    </r>
  </si>
  <si>
    <r>
      <rPr>
        <rFont val="Montserrat"/>
        <b/>
        <color theme="1"/>
      </rPr>
      <t xml:space="preserve">6. Radar de Vulnerabilidad por Categoría (Gráfico de Radar / Araña)						
	</t>
    </r>
    <r>
      <rPr>
        <rFont val="Montserrat"/>
        <color theme="1"/>
      </rPr>
      <t xml:space="preserve">						
Fuente: Tabla Riesgos.							
Ejes: Categorías (Red Social, Video, Citas, Educativo, Fintech).							
Valor: Promedio de Riesgo (1-10).							
Insight: Permite ver rápidamente qué sectores son inherentemente más tóxicos (probablemente Citas y RRSS) frente a otros más seguros.							</t>
    </r>
  </si>
  <si>
    <r>
      <rPr>
        <rFont val="Montserrat"/>
        <b/>
        <color theme="1"/>
      </rPr>
      <t xml:space="preserve">7. Top 10 Amenazas Específicas (Gráfico de Barras Horizontales)      </t>
    </r>
    <r>
      <rPr>
        <rFont val="Montserrat"/>
        <color theme="1"/>
      </rPr>
      <t xml:space="preserve">                  
</t>
    </r>
    <r>
      <rPr>
        <rFont val="Montserrat"/>
        <b/>
        <color theme="1"/>
      </rPr>
      <t>Fuente</t>
    </r>
    <r>
      <rPr>
        <rFont val="Montserrat"/>
        <color theme="1"/>
      </rPr>
      <t xml:space="preserve">: Tabla Riesgos.                                
</t>
    </r>
    <r>
      <rPr>
        <rFont val="Montserrat"/>
        <b/>
        <color theme="1"/>
      </rPr>
      <t>Eje Y:</t>
    </r>
    <r>
      <rPr>
        <rFont val="Montserrat"/>
        <color theme="1"/>
      </rPr>
      <t xml:space="preserve"> Nombre de la Plataforma.                                
</t>
    </r>
    <r>
      <rPr>
        <rFont val="Montserrat"/>
        <b/>
        <color theme="1"/>
      </rPr>
      <t>Eje X:</t>
    </r>
    <r>
      <rPr>
        <rFont val="Montserrat"/>
        <color theme="1"/>
      </rPr>
      <t xml:space="preserve"> Nivel de Riesgo.                                
</t>
    </r>
    <r>
      <rPr>
        <rFont val="Montserrat"/>
        <b/>
        <color theme="1"/>
      </rPr>
      <t xml:space="preserve">Color: </t>
    </r>
    <r>
      <rPr>
        <rFont val="Montserrat"/>
        <color theme="1"/>
      </rPr>
      <t xml:space="preserve">Riesgo Identificado (ej. Salud Mental en rojo, Estafa en naranja).                                
</t>
    </r>
    <r>
      <rPr>
        <rFont val="Montserrat"/>
        <b/>
        <color theme="1"/>
      </rPr>
      <t xml:space="preserve">Filtro Visual: </t>
    </r>
    <r>
      <rPr>
        <rFont val="Montserrat"/>
        <color theme="1"/>
      </rPr>
      <t xml:space="preserve">Mostrar solo el Top 10 con mayor riesgo.                                
</t>
    </r>
    <r>
      <rPr>
        <rFont val="Montserrat"/>
        <b/>
        <color theme="1"/>
      </rPr>
      <t xml:space="preserve">Insight: </t>
    </r>
    <r>
      <rPr>
        <rFont val="Montserrat"/>
        <color theme="1"/>
      </rPr>
      <t xml:space="preserve">Una "lista negra" visual de las aplicaciones con mayores banderas rojas.                                </t>
    </r>
  </si>
  <si>
    <t>Año</t>
  </si>
  <si>
    <t>Hito Tecnológico</t>
  </si>
  <si>
    <t>Figura/Componente</t>
  </si>
  <si>
    <t>Impacto Breve</t>
  </si>
  <si>
    <t>Siglo</t>
  </si>
  <si>
    <t>Tipo</t>
  </si>
  <si>
    <t>País</t>
  </si>
  <si>
    <t>Generación</t>
  </si>
  <si>
    <t>Relevancia (1-10)</t>
  </si>
  <si>
    <t>Logaritmos</t>
  </si>
  <si>
    <t>John Napier</t>
  </si>
  <si>
    <t>Base matemática para el cálculo</t>
  </si>
  <si>
    <t>XVII</t>
  </si>
  <si>
    <t>Teórica</t>
  </si>
  <si>
    <t>Escocia</t>
  </si>
  <si>
    <t>Pre-Gen</t>
  </si>
  <si>
    <t>Reloj Calculante</t>
  </si>
  <si>
    <t>Wilhelm Schickard</t>
  </si>
  <si>
    <t>Primera máquina de calcular (diseño)</t>
  </si>
  <si>
    <t>Mecánica</t>
  </si>
  <si>
    <t>Alemania</t>
  </si>
  <si>
    <t>Pascalina</t>
  </si>
  <si>
    <t>Blaise Pascal</t>
  </si>
  <si>
    <t>Primera calculadora mecánica funcional</t>
  </si>
  <si>
    <t>Francia</t>
  </si>
  <si>
    <t>Stepped Reckoner</t>
  </si>
  <si>
    <t>Gottfried Leibniz</t>
  </si>
  <si>
    <t>Calculadora que multiplicaba</t>
  </si>
  <si>
    <t>Telar de Jacquard</t>
  </si>
  <si>
    <t>Joseph Marie Jacquard</t>
  </si>
  <si>
    <t>Uso de tarjetas perforadas</t>
  </si>
  <si>
    <t>XIX</t>
  </si>
  <si>
    <t>Aritmómetro</t>
  </si>
  <si>
    <t>Thomas de Colmar</t>
  </si>
  <si>
    <t>Primera calculadora comercial fiable</t>
  </si>
  <si>
    <t>Máquina Diferencial</t>
  </si>
  <si>
    <t>Charles Babbage</t>
  </si>
  <si>
    <t>Cálculo de tablas polinómicas</t>
  </si>
  <si>
    <t>Reino Unido</t>
  </si>
  <si>
    <t>Máquina Analítica</t>
  </si>
  <si>
    <t>Diseño de computador de propósito general</t>
  </si>
  <si>
    <t>Primer Algoritmo</t>
  </si>
  <si>
    <t>Ada Lovelace</t>
  </si>
  <si>
    <t>Primer programa de la historia</t>
  </si>
  <si>
    <t>Telégrafo</t>
  </si>
  <si>
    <t>Samuel Morse</t>
  </si>
  <si>
    <t>Comunicación a larga distancia</t>
  </si>
  <si>
    <t>Telecom</t>
  </si>
  <si>
    <t>EE.UU.</t>
  </si>
  <si>
    <t>Álgebra de Boole</t>
  </si>
  <si>
    <t>George Boole</t>
  </si>
  <si>
    <t>Lógica binaria fundamental</t>
  </si>
  <si>
    <t>Teléfono</t>
  </si>
  <si>
    <t>Alexander Graham Bell</t>
  </si>
  <si>
    <t>Transmisión de voz</t>
  </si>
  <si>
    <t>Máquina Tabuladora</t>
  </si>
  <si>
    <t>Herman Hollerith</t>
  </si>
  <si>
    <t>Procesamiento datos censo (Tarjetas)</t>
  </si>
  <si>
    <t>Electromecánica</t>
  </si>
  <si>
    <t>Fundación IBM (CTR)</t>
  </si>
  <si>
    <t>Nace el gigante de la computación</t>
  </si>
  <si>
    <t>Empresa</t>
  </si>
  <si>
    <t>Válvula de Vacío (Diodo)</t>
  </si>
  <si>
    <t>John Fleming</t>
  </si>
  <si>
    <t>Control del flujo eléctrico</t>
  </si>
  <si>
    <t>XX</t>
  </si>
  <si>
    <t>Electrónica</t>
  </si>
  <si>
    <t>1ª</t>
  </si>
  <si>
    <t>Máquina de Turing</t>
  </si>
  <si>
    <t>Alan Turing</t>
  </si>
  <si>
    <t>Modelo matemático de la computación</t>
  </si>
  <si>
    <t>Tesis Digital</t>
  </si>
  <si>
    <t>Claude Shannon</t>
  </si>
  <si>
    <t>Circuitos digitales y booleano</t>
  </si>
  <si>
    <t>Z1</t>
  </si>
  <si>
    <t>Konrad Zuse</t>
  </si>
  <si>
    <t>Primera computadora binaria programable</t>
  </si>
  <si>
    <t>Z3</t>
  </si>
  <si>
    <t>Primera máquina Turing-completa</t>
  </si>
  <si>
    <t>ABC</t>
  </si>
  <si>
    <t>Atanasoff/Berry</t>
  </si>
  <si>
    <t>Primer computador digital electrónico</t>
  </si>
  <si>
    <t>Colossus</t>
  </si>
  <si>
    <t>Tommy Flowers</t>
  </si>
  <si>
    <t>Descifrado de códigos nazis</t>
  </si>
  <si>
    <t>ENIAC</t>
  </si>
  <si>
    <t>Eckert/Mauchly</t>
  </si>
  <si>
    <t>Primer ordenador electrónico general</t>
  </si>
  <si>
    <t>Mark I</t>
  </si>
  <si>
    <t>Howard Aiken/IBM</t>
  </si>
  <si>
    <t>Computador electromecánico gigante</t>
  </si>
  <si>
    <t>Arquitectura Von Neumann</t>
  </si>
  <si>
    <t>John von Neumann</t>
  </si>
  <si>
    <t>Estructura CPU+Memoria unificada</t>
  </si>
  <si>
    <t>Memex (Concepto)</t>
  </si>
  <si>
    <t>Vannevar Bush</t>
  </si>
  <si>
    <t>Precursor del hipertexto</t>
  </si>
  <si>
    <t>Transistor</t>
  </si>
  <si>
    <t>Bardeen/Brattain/Shockley</t>
  </si>
  <si>
    <t>Reemplazo de válvulas (Miniaturización)</t>
  </si>
  <si>
    <t>2ª</t>
  </si>
  <si>
    <t>Teoría de la Información</t>
  </si>
  <si>
    <t>Matemática de la comunicación digital</t>
  </si>
  <si>
    <t>Manchester Baby</t>
  </si>
  <si>
    <t>Williams/Kilburn</t>
  </si>
  <si>
    <t>Primer programa almacenado ejecutado</t>
  </si>
  <si>
    <t>EDSAC</t>
  </si>
  <si>
    <t>Maurice Wilkes</t>
  </si>
  <si>
    <t>Ordenador práctico con programa</t>
  </si>
  <si>
    <t>Test de Turing</t>
  </si>
  <si>
    <t>Criterio de inteligencia artificial</t>
  </si>
  <si>
    <t>IA</t>
  </si>
  <si>
    <t>UNIVAC I</t>
  </si>
  <si>
    <t>Primer ordenador comercial EE.UU.</t>
  </si>
  <si>
    <t>LEO I</t>
  </si>
  <si>
    <t>J. Lyons &amp; Co.</t>
  </si>
  <si>
    <t>Primer ordenador para negocios</t>
  </si>
  <si>
    <t>Compilador A-0</t>
  </si>
  <si>
    <t>Grace Hopper</t>
  </si>
  <si>
    <t>Primer compilador software</t>
  </si>
  <si>
    <t>Software</t>
  </si>
  <si>
    <t>IBM 701</t>
  </si>
  <si>
    <t>IBM</t>
  </si>
  <si>
    <t>Primera computadora científica IBM</t>
  </si>
  <si>
    <t>Silicon Transistor</t>
  </si>
  <si>
    <t>Texas Instruments</t>
  </si>
  <si>
    <t>Transistores comerciales de silicio</t>
  </si>
  <si>
    <t>Hardware</t>
  </si>
  <si>
    <t>Disco Duro (RAMAC)</t>
  </si>
  <si>
    <t>Primer almacenamiento magnético rotatorio</t>
  </si>
  <si>
    <t>Inteligencia Artificial</t>
  </si>
  <si>
    <t>Dartmouth Conf.</t>
  </si>
  <si>
    <t>Nacimiento del campo IA</t>
  </si>
  <si>
    <t>FORTRAN</t>
  </si>
  <si>
    <t>John Backus</t>
  </si>
  <si>
    <t>Primer lenguaje alto nivel popular</t>
  </si>
  <si>
    <t>Sputnik 1</t>
  </si>
  <si>
    <t>URSS</t>
  </si>
  <si>
    <t>Inicio carrera espacial y telecom satélite</t>
  </si>
  <si>
    <t>Circuito Integrado (Chip)</t>
  </si>
  <si>
    <t>Jack Kilby</t>
  </si>
  <si>
    <t>Varios componentes en una pieza</t>
  </si>
  <si>
    <t>3ª</t>
  </si>
  <si>
    <t>LISP</t>
  </si>
  <si>
    <t>John McCarthy</t>
  </si>
  <si>
    <t>Lenguaje para IA (listas)</t>
  </si>
  <si>
    <t>COBOL</t>
  </si>
  <si>
    <t>Grace Hopper/DoD</t>
  </si>
  <si>
    <t>Lenguaje estándar negocios</t>
  </si>
  <si>
    <t>IBM 1401</t>
  </si>
  <si>
    <t>Ordenador empresarial masivo</t>
  </si>
  <si>
    <t>Digital</t>
  </si>
  <si>
    <t>Packet Switching</t>
  </si>
  <si>
    <t>Paul Baran</t>
  </si>
  <si>
    <t>Base de redes robustas</t>
  </si>
  <si>
    <t>Redes</t>
  </si>
  <si>
    <t>Robot Industrial</t>
  </si>
  <si>
    <t>Unimate</t>
  </si>
  <si>
    <t>Automatización de fábricas</t>
  </si>
  <si>
    <t>Robótica</t>
  </si>
  <si>
    <t>Spacewar!</t>
  </si>
  <si>
    <t>Steve Russell</t>
  </si>
  <si>
    <t>Primer videojuego de ordenador</t>
  </si>
  <si>
    <t>Sketchpad</t>
  </si>
  <si>
    <t>Ivan Sutherland</t>
  </si>
  <si>
    <t>Primera GUI y CAD</t>
  </si>
  <si>
    <t>Mouse (Prototipo)</t>
  </si>
  <si>
    <t>Douglas Engelbart</t>
  </si>
  <si>
    <t>Interfaz humano-máquina</t>
  </si>
  <si>
    <t>Periférico</t>
  </si>
  <si>
    <t>IBM System/360</t>
  </si>
  <si>
    <t>Familia compatible de ordenadores</t>
  </si>
  <si>
    <t>BASIC</t>
  </si>
  <si>
    <t>Kemeny/Kurtz</t>
  </si>
  <si>
    <t>Programación para estudiantes</t>
  </si>
  <si>
    <t>Ley de Moore</t>
  </si>
  <si>
    <t>Gordon Moore</t>
  </si>
  <si>
    <t>Predicción escalado chips</t>
  </si>
  <si>
    <t>Hipertexto</t>
  </si>
  <si>
    <t>Ted Nelson</t>
  </si>
  <si>
    <t>Concepto de enlaces digitales</t>
  </si>
  <si>
    <t>ELIZA</t>
  </si>
  <si>
    <t>Joseph Weizenbaum</t>
  </si>
  <si>
    <t>Primer chatbot (psicoterapeuta)</t>
  </si>
  <si>
    <t>La Madre de todas las Demos</t>
  </si>
  <si>
    <t>Demo de Mouse/GUI/Videollamada</t>
  </si>
  <si>
    <t>Evento</t>
  </si>
  <si>
    <t>ARPANET</t>
  </si>
  <si>
    <t>DoD / BBN</t>
  </si>
  <si>
    <t>Precursor de Internet (4 nodos)</t>
  </si>
  <si>
    <t>UNIX</t>
  </si>
  <si>
    <t>Thompson/Ritchie</t>
  </si>
  <si>
    <t>Sistema operativo portable</t>
  </si>
  <si>
    <t>CCD</t>
  </si>
  <si>
    <t>Bell Labs</t>
  </si>
  <si>
    <t>Base de la fotografía digital</t>
  </si>
  <si>
    <t>Bases de Datos Relacionales</t>
  </si>
  <si>
    <t>Edgar Codd</t>
  </si>
  <si>
    <t>Modelo SQL y tablas</t>
  </si>
  <si>
    <t>Fibra Óptica</t>
  </si>
  <si>
    <t>Corning</t>
  </si>
  <si>
    <t>Transmisión datos luz</t>
  </si>
  <si>
    <t>Intel 4004</t>
  </si>
  <si>
    <t>Ted Hoff/Intel</t>
  </si>
  <si>
    <t>Primer microprocesador comercial</t>
  </si>
  <si>
    <t>4ª</t>
  </si>
  <si>
    <t>Email</t>
  </si>
  <si>
    <t>Ray Tomlinson</t>
  </si>
  <si>
    <t>Correo en red (@)</t>
  </si>
  <si>
    <t>Disquete (Floppy)</t>
  </si>
  <si>
    <t>Almacenamiento portátil</t>
  </si>
  <si>
    <t>Lenguaje C</t>
  </si>
  <si>
    <t>Dennis Ritchie</t>
  </si>
  <si>
    <t>Base sistemas modernos</t>
  </si>
  <si>
    <t>Pong</t>
  </si>
  <si>
    <t>Atari</t>
  </si>
  <si>
    <t>Nacimiento industria arcade</t>
  </si>
  <si>
    <t>Magnavox Odyssey</t>
  </si>
  <si>
    <t>Ralph Baer</t>
  </si>
  <si>
    <t>Primera consola doméstica</t>
  </si>
  <si>
    <t>Ethernet</t>
  </si>
  <si>
    <t>Robert Metcalfe</t>
  </si>
  <si>
    <t>Redes de área local (LAN)</t>
  </si>
  <si>
    <t>Xerox Alto</t>
  </si>
  <si>
    <t>Xerox PARC</t>
  </si>
  <si>
    <t>Primer PC con GUI y Mouse</t>
  </si>
  <si>
    <t>Teléfono Móvil</t>
  </si>
  <si>
    <t>Martin Cooper (Motorola)</t>
  </si>
  <si>
    <t>Primera llamada celular</t>
  </si>
  <si>
    <t>TCP/IP (Diseño)</t>
  </si>
  <si>
    <t>Cerf/Kahn</t>
  </si>
  <si>
    <t>Protocolo de Internet</t>
  </si>
  <si>
    <t>Altair 8800</t>
  </si>
  <si>
    <t>MITS</t>
  </si>
  <si>
    <t>Inicio revolución microordenador</t>
  </si>
  <si>
    <t>Microsoft</t>
  </si>
  <si>
    <t>Gates/Allen</t>
  </si>
  <si>
    <t>Fundación empresa software</t>
  </si>
  <si>
    <t>Apple I</t>
  </si>
  <si>
    <t>Wozniak/Jobs</t>
  </si>
  <si>
    <t>Ordenador personal hobby</t>
  </si>
  <si>
    <t>Cray-1</t>
  </si>
  <si>
    <t>Seymour Cray</t>
  </si>
  <si>
    <t>Supercomputadora vectorial ícono</t>
  </si>
  <si>
    <t>Apple II</t>
  </si>
  <si>
    <t>Apple</t>
  </si>
  <si>
    <t>PC color masivo éxito</t>
  </si>
  <si>
    <t>Commodore PET</t>
  </si>
  <si>
    <t>Commodore</t>
  </si>
  <si>
    <t>PC todo en uno</t>
  </si>
  <si>
    <t>TRS-80</t>
  </si>
  <si>
    <t>Tandy</t>
  </si>
  <si>
    <t>PC accesible masivo</t>
  </si>
  <si>
    <t>Atari 2600</t>
  </si>
  <si>
    <t>Consola cartuchos intercambiables</t>
  </si>
  <si>
    <t>Intel 8086</t>
  </si>
  <si>
    <t>Intel</t>
  </si>
  <si>
    <t>Inicio arquitectura x86</t>
  </si>
  <si>
    <t>VisiCalc</t>
  </si>
  <si>
    <t>Dan Bricklin</t>
  </si>
  <si>
    <t>Primera hoja cálculo (Killer App)</t>
  </si>
  <si>
    <t>Walkman</t>
  </si>
  <si>
    <t>Sony</t>
  </si>
  <si>
    <t>Música portátil personal</t>
  </si>
  <si>
    <t>Japón</t>
  </si>
  <si>
    <t>Pac-Man</t>
  </si>
  <si>
    <t>Namco</t>
  </si>
  <si>
    <t>Fenómeno cultural videojuegos</t>
  </si>
  <si>
    <t>Disco Duro 5.25</t>
  </si>
  <si>
    <t>Seagate</t>
  </si>
  <si>
    <t>Almacenamiento PC (5MB)</t>
  </si>
  <si>
    <t>IBM PC (5150)</t>
  </si>
  <si>
    <t>Estándar industria PC</t>
  </si>
  <si>
    <t>MS-DOS</t>
  </si>
  <si>
    <t>SO para IBM PC</t>
  </si>
  <si>
    <t>Osborne 1</t>
  </si>
  <si>
    <t>Adam Osborne</t>
  </si>
  <si>
    <t>Primer ordenador "portátil"</t>
  </si>
  <si>
    <t>Commodore 64</t>
  </si>
  <si>
    <t>PC más vendido historia</t>
  </si>
  <si>
    <t>Compact Disc (CD)</t>
  </si>
  <si>
    <t>Sony/Philips</t>
  </si>
  <si>
    <t>Audio digital óptico</t>
  </si>
  <si>
    <t>Japón/P.Bajos</t>
  </si>
  <si>
    <t>Protocolo SMTP</t>
  </si>
  <si>
    <t>Postel</t>
  </si>
  <si>
    <t>Estándar email</t>
  </si>
  <si>
    <t>Internet (Nace)</t>
  </si>
  <si>
    <t>Migración a TCP/IP</t>
  </si>
  <si>
    <t>C++</t>
  </si>
  <si>
    <t>Bjarne Stroustrup</t>
  </si>
  <si>
    <t>C con clases</t>
  </si>
  <si>
    <t>Motorola DynaTAC</t>
  </si>
  <si>
    <t>Motorola</t>
  </si>
  <si>
    <t>Primer móvil comercial</t>
  </si>
  <si>
    <t>Nintendo NES</t>
  </si>
  <si>
    <t>Nintendo</t>
  </si>
  <si>
    <t>Rescate industria videojuegos</t>
  </si>
  <si>
    <t>Macintosh</t>
  </si>
  <si>
    <t>GUI para las masas</t>
  </si>
  <si>
    <t>Memoria Flash</t>
  </si>
  <si>
    <t>Fujio Masuoka (Toshiba)</t>
  </si>
  <si>
    <t>Almacenamiento no volátil</t>
  </si>
  <si>
    <t>DNS</t>
  </si>
  <si>
    <t>Paul Mockapetris</t>
  </si>
  <si>
    <t>Nombres de dominio</t>
  </si>
  <si>
    <t>Windows 1.0</t>
  </si>
  <si>
    <t>GUI para DOS</t>
  </si>
  <si>
    <t>CD-ROM</t>
  </si>
  <si>
    <t>Datos en disco óptico</t>
  </si>
  <si>
    <t>ARM (Arquitectura)</t>
  </si>
  <si>
    <t>Acorn Computers</t>
  </si>
  <si>
    <t>Base de chips móviles futuros</t>
  </si>
  <si>
    <t>SQL (Estándar)</t>
  </si>
  <si>
    <t>ANSI</t>
  </si>
  <si>
    <t>Lenguaje bases de datos</t>
  </si>
  <si>
    <t>Perl</t>
  </si>
  <si>
    <t>Larry Wall</t>
  </si>
  <si>
    <t>Lenguaje scripting web</t>
  </si>
  <si>
    <t>Game Boy</t>
  </si>
  <si>
    <t>Videojuego portátil masivo</t>
  </si>
  <si>
    <t>World Wide Web</t>
  </si>
  <si>
    <t>Tim Berners-Lee</t>
  </si>
  <si>
    <t>Propuesta de la Web</t>
  </si>
  <si>
    <t>Internet</t>
  </si>
  <si>
    <t>Suiza (CERN)</t>
  </si>
  <si>
    <t>Photoshop</t>
  </si>
  <si>
    <t>Adobe</t>
  </si>
  <si>
    <t>Edición imagen digital</t>
  </si>
  <si>
    <t>Windows 3.0</t>
  </si>
  <si>
    <t>Éxito masivo de Windows</t>
  </si>
  <si>
    <t>Linux Kernel</t>
  </si>
  <si>
    <t>Linus Torvalds</t>
  </si>
  <si>
    <t>SO Open Source</t>
  </si>
  <si>
    <t>Finlandia</t>
  </si>
  <si>
    <t>Python</t>
  </si>
  <si>
    <t>Guido van Rossum</t>
  </si>
  <si>
    <t>Lenguaje multipropósito</t>
  </si>
  <si>
    <t>P.Bajos</t>
  </si>
  <si>
    <t>GSM (2G)</t>
  </si>
  <si>
    <t>ETSI</t>
  </si>
  <si>
    <t>Estándar móvil digital</t>
  </si>
  <si>
    <t>Europa</t>
  </si>
  <si>
    <t>SMS</t>
  </si>
  <si>
    <t>Neil Papworth</t>
  </si>
  <si>
    <t>Mensajería texto móvil</t>
  </si>
  <si>
    <t>Mosaic</t>
  </si>
  <si>
    <t>NCSA</t>
  </si>
  <si>
    <t>Primer navegador gráfico popular</t>
  </si>
  <si>
    <t>Pentium</t>
  </si>
  <si>
    <t>Marca dominante CPUs</t>
  </si>
  <si>
    <t>PDF</t>
  </si>
  <si>
    <t>Documento digital portable</t>
  </si>
  <si>
    <t>Netscape Navigator</t>
  </si>
  <si>
    <t>Netscape</t>
  </si>
  <si>
    <t>Popularización de la Web</t>
  </si>
  <si>
    <t>Amazon</t>
  </si>
  <si>
    <t>Jeff Bezos</t>
  </si>
  <si>
    <t>Inicio e-commerce</t>
  </si>
  <si>
    <t>PHP</t>
  </si>
  <si>
    <t>Rasmus Lerdorf</t>
  </si>
  <si>
    <t>Lenguaje lado servidor web</t>
  </si>
  <si>
    <t>Canadá</t>
  </si>
  <si>
    <t>Windows 95</t>
  </si>
  <si>
    <t>Inicio y barra tareas</t>
  </si>
  <si>
    <t>Java</t>
  </si>
  <si>
    <t>Sun Microsystems</t>
  </si>
  <si>
    <t>Lenguaje multiplataforma</t>
  </si>
  <si>
    <t>DVD</t>
  </si>
  <si>
    <t>Consorcio</t>
  </si>
  <si>
    <t>Video digital alta capacidad</t>
  </si>
  <si>
    <t>eBay</t>
  </si>
  <si>
    <t>Pierre Omidyar</t>
  </si>
  <si>
    <t>Subastas online</t>
  </si>
  <si>
    <t>Hotmail</t>
  </si>
  <si>
    <t>Sabeer Bhatia</t>
  </si>
  <si>
    <t>Webmail gratuito</t>
  </si>
  <si>
    <t>Deep Blue</t>
  </si>
  <si>
    <t>IA gana a Kasparov (Ajedrez)</t>
  </si>
  <si>
    <t>USB 1.0</t>
  </si>
  <si>
    <t>Intel/MS/etc</t>
  </si>
  <si>
    <t>Puerto universal</t>
  </si>
  <si>
    <t>Wi-Fi (802.11)</t>
  </si>
  <si>
    <t>IEEE</t>
  </si>
  <si>
    <t>Internet inalámbrico</t>
  </si>
  <si>
    <t>Global</t>
  </si>
  <si>
    <t>Google Search</t>
  </si>
  <si>
    <t>Page y Brin</t>
  </si>
  <si>
    <t>Motor búsqueda moderno</t>
  </si>
  <si>
    <t>iMac</t>
  </si>
  <si>
    <t>Diseño y USB por defecto</t>
  </si>
  <si>
    <t>Mozilla</t>
  </si>
  <si>
    <t>Código abierto navegador</t>
  </si>
  <si>
    <t>Nvidia GeForce 256</t>
  </si>
  <si>
    <t>Nvidia</t>
  </si>
  <si>
    <t>Primera GPU moderna</t>
  </si>
  <si>
    <t>Napster</t>
  </si>
  <si>
    <t>Shawn Fanning</t>
  </si>
  <si>
    <t>P2P música</t>
  </si>
  <si>
    <t>Bluetooth 1.0</t>
  </si>
  <si>
    <t>Ericsson</t>
  </si>
  <si>
    <t>Conexión corto alcance</t>
  </si>
  <si>
    <t>Suecia</t>
  </si>
  <si>
    <t>PlayStation 2</t>
  </si>
  <si>
    <t>Consola más vendida historia</t>
  </si>
  <si>
    <t>XXI</t>
  </si>
  <si>
    <t>USB Flash Drive</t>
  </si>
  <si>
    <t>Trek/IBM</t>
  </si>
  <si>
    <t>Adiós al disquete</t>
  </si>
  <si>
    <t>Israel/Singapur</t>
  </si>
  <si>
    <t>C# (C Sharp)</t>
  </si>
  <si>
    <t>Lenguaje plataforma .NET</t>
  </si>
  <si>
    <t>Wikipedia</t>
  </si>
  <si>
    <t>Jimmy Wales</t>
  </si>
  <si>
    <t>Conocimiento colaborativo</t>
  </si>
  <si>
    <t>5ª</t>
  </si>
  <si>
    <t>Mac OS X</t>
  </si>
  <si>
    <t>Unix para usuarios finales</t>
  </si>
  <si>
    <t>iPod</t>
  </si>
  <si>
    <t>Música digital masiva</t>
  </si>
  <si>
    <t>Windows XP</t>
  </si>
  <si>
    <t>Estabilidad NT en hogar</t>
  </si>
  <si>
    <t>Skype</t>
  </si>
  <si>
    <t>Zennstrom/Friis</t>
  </si>
  <si>
    <t>VoIP masivo</t>
  </si>
  <si>
    <t>Estonia</t>
  </si>
  <si>
    <t>WordPress</t>
  </si>
  <si>
    <t>Mullenweg</t>
  </si>
  <si>
    <t>Democratización CMS web</t>
  </si>
  <si>
    <t>Facebook</t>
  </si>
  <si>
    <t>Zuckerberg</t>
  </si>
  <si>
    <t>Red social hegemónica</t>
  </si>
  <si>
    <t>Firefox 1.0</t>
  </si>
  <si>
    <t>Alternativa a IE</t>
  </si>
  <si>
    <t>Ubuntu</t>
  </si>
  <si>
    <t>Canonical</t>
  </si>
  <si>
    <t>Linux para humanos</t>
  </si>
  <si>
    <t>Sudáfrica/UK</t>
  </si>
  <si>
    <t>YouTube</t>
  </si>
  <si>
    <t>Hurley/Chen/Karim</t>
  </si>
  <si>
    <t>Video online masivo</t>
  </si>
  <si>
    <t>Google Maps</t>
  </si>
  <si>
    <t>Google</t>
  </si>
  <si>
    <t>Mapas digitales dinámicos</t>
  </si>
  <si>
    <t>Git</t>
  </si>
  <si>
    <t>Control de versiones moderno</t>
  </si>
  <si>
    <t>AWS (Cloud)</t>
  </si>
  <si>
    <t>Infraestructura como servicio</t>
  </si>
  <si>
    <t>Twitter</t>
  </si>
  <si>
    <t>Jack Dorsey</t>
  </si>
  <si>
    <t>Microblogging</t>
  </si>
  <si>
    <t>iPhone</t>
  </si>
  <si>
    <t>Smartphone moderno multitouch</t>
  </si>
  <si>
    <t>Kindle</t>
  </si>
  <si>
    <t>Lectura digital masiva</t>
  </si>
  <si>
    <t>Android</t>
  </si>
  <si>
    <t>SO móvil abierto</t>
  </si>
  <si>
    <t>App Store</t>
  </si>
  <si>
    <t>Modelo negocio apps</t>
  </si>
  <si>
    <t>Blockchain (Bitcoin)</t>
  </si>
  <si>
    <t>Satoshi Nakamoto</t>
  </si>
  <si>
    <t>Criptomoneda y DLT</t>
  </si>
  <si>
    <t>Spotify</t>
  </si>
  <si>
    <t>Daniel Ek</t>
  </si>
  <si>
    <t>Streaming música legal</t>
  </si>
  <si>
    <t>Chrome</t>
  </si>
  <si>
    <t>Navegador rápido V8</t>
  </si>
  <si>
    <t>Node.js</t>
  </si>
  <si>
    <t>Ryan Dahl</t>
  </si>
  <si>
    <t>JavaScript en servidor</t>
  </si>
  <si>
    <t>WhatsApp</t>
  </si>
  <si>
    <t>Koum/Acton</t>
  </si>
  <si>
    <t>Mensajería móvil global</t>
  </si>
  <si>
    <t>iPad</t>
  </si>
  <si>
    <t>Era Post-PC (Tablet)</t>
  </si>
  <si>
    <t>Instagram</t>
  </si>
  <si>
    <t>Systrom/Krieger</t>
  </si>
  <si>
    <t>Red social visual</t>
  </si>
  <si>
    <t>Siri (Adquisición)</t>
  </si>
  <si>
    <t>Asistente voz móvil</t>
  </si>
  <si>
    <t>Minecraft (Oficial)</t>
  </si>
  <si>
    <t>Mojang</t>
  </si>
  <si>
    <t>Fenómeno creativo juegos</t>
  </si>
  <si>
    <t>Zoom</t>
  </si>
  <si>
    <t>Eric Yuan</t>
  </si>
  <si>
    <t>Videoconferencia moderna</t>
  </si>
  <si>
    <t>Raspberry Pi</t>
  </si>
  <si>
    <t>Eben Upton</t>
  </si>
  <si>
    <t>PC educativo $35</t>
  </si>
  <si>
    <t>AlexNet</t>
  </si>
  <si>
    <t>Hinton/Krizhevsky</t>
  </si>
  <si>
    <t>Deep Learning visión</t>
  </si>
  <si>
    <t>CRISPR-Cas9</t>
  </si>
  <si>
    <t>Doudna/Charpentier</t>
  </si>
  <si>
    <t>Edición genética programable</t>
  </si>
  <si>
    <t>Bio</t>
  </si>
  <si>
    <t>Exp</t>
  </si>
  <si>
    <t>Tesla Model S</t>
  </si>
  <si>
    <t>Tesla</t>
  </si>
  <si>
    <t>Coche eléctrico conectado</t>
  </si>
  <si>
    <t>Transporte</t>
  </si>
  <si>
    <t>Docker</t>
  </si>
  <si>
    <t>Solomon Hykes</t>
  </si>
  <si>
    <t>Contenedores software</t>
  </si>
  <si>
    <t>PlayStation 4</t>
  </si>
  <si>
    <t>Consola social compartida</t>
  </si>
  <si>
    <t>HTML5 (Final)</t>
  </si>
  <si>
    <t>W3C</t>
  </si>
  <si>
    <t>Web semántica estándar</t>
  </si>
  <si>
    <t>Amazon Echo (Alexa)</t>
  </si>
  <si>
    <t>Altavoz inteligente</t>
  </si>
  <si>
    <t>Ethereum</t>
  </si>
  <si>
    <t>Vitalik Buterin</t>
  </si>
  <si>
    <t>Smart Contracts</t>
  </si>
  <si>
    <t>OpenAI</t>
  </si>
  <si>
    <t>Musk/Altman</t>
  </si>
  <si>
    <t>Fundación lab IA</t>
  </si>
  <si>
    <t>Windows 10</t>
  </si>
  <si>
    <t>SO como servicio</t>
  </si>
  <si>
    <t>USB-C</t>
  </si>
  <si>
    <t>USB-IF</t>
  </si>
  <si>
    <t>Conector reversible universal</t>
  </si>
  <si>
    <t>AlphaGo</t>
  </si>
  <si>
    <t>DeepMind</t>
  </si>
  <si>
    <t>IA vence en Go</t>
  </si>
  <si>
    <t>AirPods</t>
  </si>
  <si>
    <t>Audio inalámbrico TWS</t>
  </si>
  <si>
    <t>TikTok (Douyin)</t>
  </si>
  <si>
    <t>ByteDance</t>
  </si>
  <si>
    <t>Algoritmo video corto</t>
  </si>
  <si>
    <t>China</t>
  </si>
  <si>
    <t>Transformer</t>
  </si>
  <si>
    <t>Google Brain</t>
  </si>
  <si>
    <t>Arquitectura base LLMs</t>
  </si>
  <si>
    <t>Nintendo Switch</t>
  </si>
  <si>
    <t>Consola híbrida</t>
  </si>
  <si>
    <t>Fortnite</t>
  </si>
  <si>
    <t>Epic Games</t>
  </si>
  <si>
    <t>Metaverso social temprano</t>
  </si>
  <si>
    <t>BERT</t>
  </si>
  <si>
    <t>NLP bidireccional</t>
  </si>
  <si>
    <t>Computación Cuántica</t>
  </si>
  <si>
    <t>Google (Sycamore)</t>
  </si>
  <si>
    <t>Supremacía cuántica (demo)</t>
  </si>
  <si>
    <t>Cuántica</t>
  </si>
  <si>
    <t>5G (Despliegue)</t>
  </si>
  <si>
    <t>Varios</t>
  </si>
  <si>
    <t>Red móvil alta velocidad</t>
  </si>
  <si>
    <t>Starlink</t>
  </si>
  <si>
    <t>SpaceX</t>
  </si>
  <si>
    <t>Internet satelital baja latencia</t>
  </si>
  <si>
    <t>GPT-3</t>
  </si>
  <si>
    <t>LLM Generativo potente</t>
  </si>
  <si>
    <t>Apple M1</t>
  </si>
  <si>
    <t>ARM en escritorio (Silicon)</t>
  </si>
  <si>
    <t>Vacunas ARNm</t>
  </si>
  <si>
    <t>BioNTech/Moderna</t>
  </si>
  <si>
    <t>Bioinformática aplicada</t>
  </si>
  <si>
    <t>Alemania/EE.UU.</t>
  </si>
  <si>
    <t>DALL-E</t>
  </si>
  <si>
    <t>Texto a Imagen</t>
  </si>
  <si>
    <t>GitHub Copilot</t>
  </si>
  <si>
    <t>GitHub</t>
  </si>
  <si>
    <t>Programación asistida IA</t>
  </si>
  <si>
    <t>NFT Boom</t>
  </si>
  <si>
    <t>Arte digital tokenizado</t>
  </si>
  <si>
    <t>Metaverso (Rebrand)</t>
  </si>
  <si>
    <t>Meta</t>
  </si>
  <si>
    <t>Apuesta por VR/AR</t>
  </si>
  <si>
    <t>Concepto</t>
  </si>
  <si>
    <t>Midjourney</t>
  </si>
  <si>
    <t>David Holz</t>
  </si>
  <si>
    <t>Arte generativo calidad</t>
  </si>
  <si>
    <t>Stable Diffusion</t>
  </si>
  <si>
    <t>Stability AI</t>
  </si>
  <si>
    <t>IA Generativa Open Source</t>
  </si>
  <si>
    <t>Frontier</t>
  </si>
  <si>
    <t>Oak Ridge</t>
  </si>
  <si>
    <t>Supercomputadora Exascale</t>
  </si>
  <si>
    <t>ChatGPT</t>
  </si>
  <si>
    <t>Chatbot IA masivo</t>
  </si>
  <si>
    <t>GPT-4</t>
  </si>
  <si>
    <t>Modelo multimodal avanzado</t>
  </si>
  <si>
    <t>Llama 2</t>
  </si>
  <si>
    <t>LLM Open Source potente</t>
  </si>
  <si>
    <t>Vision Pro (Anuncio)</t>
  </si>
  <si>
    <t>Computación espacial</t>
  </si>
  <si>
    <t>Gemini</t>
  </si>
  <si>
    <t>Modelo nativo multimodal</t>
  </si>
  <si>
    <t>Nvidia H100</t>
  </si>
  <si>
    <t>Chip estándar para IA</t>
  </si>
  <si>
    <t>Sora</t>
  </si>
  <si>
    <t>Video generativo realista</t>
  </si>
  <si>
    <t>Neuralink (Telepathy)</t>
  </si>
  <si>
    <t>Elon Musk</t>
  </si>
  <si>
    <t>Implante cerebral humano</t>
  </si>
  <si>
    <t>Copilot PC</t>
  </si>
  <si>
    <t>Integración IA en OS</t>
  </si>
  <si>
    <t>Groq</t>
  </si>
  <si>
    <t>Groq Inc.</t>
  </si>
  <si>
    <t>Inferencia IA ultra-rápida (LPU)</t>
  </si>
  <si>
    <t>Devin</t>
  </si>
  <si>
    <t>Cognition</t>
  </si>
  <si>
    <t>Ingeniero software IA autónomo</t>
  </si>
  <si>
    <t>Claude 3</t>
  </si>
  <si>
    <t>Anthropic</t>
  </si>
  <si>
    <t>Modelo IA contexto largo</t>
  </si>
  <si>
    <t>Rabbit R1</t>
  </si>
  <si>
    <t>Rabbit</t>
  </si>
  <si>
    <t>Dispositivo post-app (IA)</t>
  </si>
  <si>
    <t>Agentes Autónomos</t>
  </si>
  <si>
    <t>IA que ejecuta acciones</t>
  </si>
  <si>
    <t>Fusión Nuclear (Hito)</t>
  </si>
  <si>
    <t>ITER/NIF</t>
  </si>
  <si>
    <t>Avance energía limpia (Simulación)</t>
  </si>
  <si>
    <t>Física</t>
  </si>
  <si>
    <t>Computación Óptica</t>
  </si>
  <si>
    <t>Procesadores de luz</t>
  </si>
  <si>
    <t>6G (Estándar)</t>
  </si>
  <si>
    <t>ITU</t>
  </si>
  <si>
    <t>Definición nueva red</t>
  </si>
  <si>
    <t>Etapa</t>
  </si>
  <si>
    <t>Concepto Clave</t>
  </si>
  <si>
    <t>Herramienta Ejemplo</t>
  </si>
  <si>
    <t>Impacto Social</t>
  </si>
  <si>
    <t>Década</t>
  </si>
  <si>
    <t>Usuario</t>
  </si>
  <si>
    <t>Protocolo</t>
  </si>
  <si>
    <t>Centralización</t>
  </si>
  <si>
    <t>Empresa Líder</t>
  </si>
  <si>
    <t>Web 1.0</t>
  </si>
  <si>
    <t>Navegación básica</t>
  </si>
  <si>
    <t>Primer acceso visual a la red</t>
  </si>
  <si>
    <t>Pasivo</t>
  </si>
  <si>
    <t>HTTP</t>
  </si>
  <si>
    <t>Alta</t>
  </si>
  <si>
    <t>Buscador primitivo</t>
  </si>
  <si>
    <t>Archie</t>
  </si>
  <si>
    <t>Indexación de archivos FTP</t>
  </si>
  <si>
    <t>FTP</t>
  </si>
  <si>
    <t>McGill Univ</t>
  </si>
  <si>
    <t>Portal de contenidos</t>
  </si>
  <si>
    <t>Yahoo!</t>
  </si>
  <si>
    <t>Directorio web jerárquico</t>
  </si>
  <si>
    <t>Navegador comercial</t>
  </si>
  <si>
    <t>Guerra de navegadores</t>
  </si>
  <si>
    <t>Correo electrónico</t>
  </si>
  <si>
    <t>Email gratuito en la nube</t>
  </si>
  <si>
    <t>SMTP/POP</t>
  </si>
  <si>
    <t>Comercio libros</t>
  </si>
  <si>
    <t>Amazon (Books)</t>
  </si>
  <si>
    <t>Inicio del E-commerce</t>
  </si>
  <si>
    <t>Consumidor</t>
  </si>
  <si>
    <t>HTTP/SSL</t>
  </si>
  <si>
    <t>Páginas personales</t>
  </si>
  <si>
    <t>GeoCities</t>
  </si>
  <si>
    <t>Expresión personal estática</t>
  </si>
  <si>
    <t>HTML</t>
  </si>
  <si>
    <t>Mensajería</t>
  </si>
  <si>
    <t>ICQ</t>
  </si>
  <si>
    <t>Comunicación instantánea</t>
  </si>
  <si>
    <t>Interactivo</t>
  </si>
  <si>
    <t>OSCAR</t>
  </si>
  <si>
    <t>Mirabilis</t>
  </si>
  <si>
    <t>Buscador algorítmico</t>
  </si>
  <si>
    <t>Organización de la info mundial</t>
  </si>
  <si>
    <t>Mercado de segunda mano global</t>
  </si>
  <si>
    <t>Enciclopedia digital</t>
  </si>
  <si>
    <t>Encarta</t>
  </si>
  <si>
    <t>Digitalización del saber (CD/Web)</t>
  </si>
  <si>
    <t>Lector</t>
  </si>
  <si>
    <t>Propio</t>
  </si>
  <si>
    <t>Portal noticias</t>
  </si>
  <si>
    <t>CNN.com</t>
  </si>
  <si>
    <t>Noticias 24h online</t>
  </si>
  <si>
    <t>Time Warner</t>
  </si>
  <si>
    <t>Chat rooms</t>
  </si>
  <si>
    <t>IRC (mIRC)</t>
  </si>
  <si>
    <t>Comunidades de texto en tiempo real</t>
  </si>
  <si>
    <t>Participante</t>
  </si>
  <si>
    <t>IRC</t>
  </si>
  <si>
    <t>Media</t>
  </si>
  <si>
    <t>Música P2P</t>
  </si>
  <si>
    <t>Disrupción discográfica</t>
  </si>
  <si>
    <t>P2P (Centralizado)</t>
  </si>
  <si>
    <t>Proveedor acceso</t>
  </si>
  <si>
    <t>AOL</t>
  </si>
  <si>
    <t>Internet para masas (Walled Garden)</t>
  </si>
  <si>
    <t>Dial-up</t>
  </si>
  <si>
    <t>Buscador visual</t>
  </si>
  <si>
    <t>Altavista</t>
  </si>
  <si>
    <t>Búsqueda rápida multimedia</t>
  </si>
  <si>
    <t>DEC</t>
  </si>
  <si>
    <t>Hosting gratuito</t>
  </si>
  <si>
    <t>Angelfire</t>
  </si>
  <si>
    <t>Construcción web amateur</t>
  </si>
  <si>
    <t>Creador básico</t>
  </si>
  <si>
    <t>Lycos</t>
  </si>
  <si>
    <t>Mensajería corporativa</t>
  </si>
  <si>
    <t>AIM</t>
  </si>
  <si>
    <t>Chat de America Online</t>
  </si>
  <si>
    <t>Portal financiero</t>
  </si>
  <si>
    <t>Bloomberg.com</t>
  </si>
  <si>
    <t>Datos bursátiles online</t>
  </si>
  <si>
    <t>Bloomberg</t>
  </si>
  <si>
    <t>Blog primitivo</t>
  </si>
  <si>
    <t>Links.net</t>
  </si>
  <si>
    <t>Diario personal online</t>
  </si>
  <si>
    <t>Creador</t>
  </si>
  <si>
    <t>Independiente</t>
  </si>
  <si>
    <t>Multimedia web</t>
  </si>
  <si>
    <t>RealPlayer</t>
  </si>
  <si>
    <t>Streaming de audio/video inicial</t>
  </si>
  <si>
    <t>Espectador</t>
  </si>
  <si>
    <t>RTSP</t>
  </si>
  <si>
    <t>RealNetworks</t>
  </si>
  <si>
    <t>Desarrollo web</t>
  </si>
  <si>
    <t>FrontPage</t>
  </si>
  <si>
    <t>Edición WYSIWYG</t>
  </si>
  <si>
    <t>Animación web</t>
  </si>
  <si>
    <t>Macromedia Flash</t>
  </si>
  <si>
    <t>Webs interactivas y juegos</t>
  </si>
  <si>
    <t>SWF</t>
  </si>
  <si>
    <t>Macromedia</t>
  </si>
  <si>
    <t>Directorio web</t>
  </si>
  <si>
    <t>DMOZ</t>
  </si>
  <si>
    <t>Directorio editado por humanos</t>
  </si>
  <si>
    <t>Colaborador</t>
  </si>
  <si>
    <t>Foros</t>
  </si>
  <si>
    <t>Usenet</t>
  </si>
  <si>
    <t>Grupos de noticias</t>
  </si>
  <si>
    <t>1980/90</t>
  </si>
  <si>
    <t>NNTP</t>
  </si>
  <si>
    <t>Descentralizada</t>
  </si>
  <si>
    <t>Comunidad virtual</t>
  </si>
  <si>
    <t>The Well</t>
  </si>
  <si>
    <t>Primeras redes sociales de texto</t>
  </si>
  <si>
    <t>Telnet/HTTP</t>
  </si>
  <si>
    <t>Portal generalista</t>
  </si>
  <si>
    <t>Buscador y portal</t>
  </si>
  <si>
    <t>Preguntas y Respuestas</t>
  </si>
  <si>
    <t>Ask Jeeves</t>
  </si>
  <si>
    <t>Búsqueda en lenguaje natural</t>
  </si>
  <si>
    <t>Ask</t>
  </si>
  <si>
    <t>Webmail</t>
  </si>
  <si>
    <t>Yahoo Mail</t>
  </si>
  <si>
    <t>Correo masivo</t>
  </si>
  <si>
    <t>SMTP</t>
  </si>
  <si>
    <t>Software descarga</t>
  </si>
  <si>
    <t>Download.com</t>
  </si>
  <si>
    <t>Repositorio de software</t>
  </si>
  <si>
    <t>FTP/HTTP</t>
  </si>
  <si>
    <t>CNET</t>
  </si>
  <si>
    <t>Mapas estáticos</t>
  </si>
  <si>
    <t>MapQuest</t>
  </si>
  <si>
    <t>Instrucciones de ruta impresas</t>
  </si>
  <si>
    <t>Agencia viajes</t>
  </si>
  <si>
    <t>Expedia</t>
  </si>
  <si>
    <t>Reservas online sin agencia física</t>
  </si>
  <si>
    <t>Pago digital</t>
  </si>
  <si>
    <t>PayPal (Confinity)</t>
  </si>
  <si>
    <t>Transferencia de dinero por email</t>
  </si>
  <si>
    <t>PayPal</t>
  </si>
  <si>
    <t>CMS temprano</t>
  </si>
  <si>
    <t>Blogger</t>
  </si>
  <si>
    <t>Democratización de la publicación</t>
  </si>
  <si>
    <t>Pyra Labs</t>
  </si>
  <si>
    <t>Portal español</t>
  </si>
  <si>
    <t>Terra</t>
  </si>
  <si>
    <t>Contenidos hispanos</t>
  </si>
  <si>
    <t>Telefónica</t>
  </si>
  <si>
    <t>Música digital</t>
  </si>
  <si>
    <t>Winamp</t>
  </si>
  <si>
    <t>Reproductor MP3 estándar</t>
  </si>
  <si>
    <t>Local</t>
  </si>
  <si>
    <t>N/A</t>
  </si>
  <si>
    <t>Nullsoft</t>
  </si>
  <si>
    <t>Seguridad</t>
  </si>
  <si>
    <t>Verisign</t>
  </si>
  <si>
    <t>Certificados SSL para e-commerce</t>
  </si>
  <si>
    <t>Admin</t>
  </si>
  <si>
    <t>SSL</t>
  </si>
  <si>
    <t>Juegos online</t>
  </si>
  <si>
    <t>Ultima Online</t>
  </si>
  <si>
    <t>MMORPG gráfico pionero</t>
  </si>
  <si>
    <t>Jugador</t>
  </si>
  <si>
    <t>Origin</t>
  </si>
  <si>
    <t>Anuncios clasificados</t>
  </si>
  <si>
    <t>Craigslist</t>
  </si>
  <si>
    <t>Tablón de anuncios global</t>
  </si>
  <si>
    <t>Buscador académico</t>
  </si>
  <si>
    <t>CiteSeer</t>
  </si>
  <si>
    <t>Índice de citas</t>
  </si>
  <si>
    <t>Investigador</t>
  </si>
  <si>
    <t>NEC</t>
  </si>
  <si>
    <t>Traducción</t>
  </si>
  <si>
    <t>Altavista Babel Fish</t>
  </si>
  <si>
    <t>Traducción automática web</t>
  </si>
  <si>
    <t>Sistema Operativo</t>
  </si>
  <si>
    <t>Integración del escritorio y web</t>
  </si>
  <si>
    <t>TCP/IP</t>
  </si>
  <si>
    <t>Navegador</t>
  </si>
  <si>
    <t>Internet Explorer</t>
  </si>
  <si>
    <t>Dominio del mercado</t>
  </si>
  <si>
    <t>Estándares</t>
  </si>
  <si>
    <t>Definición de HTML/CSS</t>
  </si>
  <si>
    <t>Técnico</t>
  </si>
  <si>
    <t>Estándar</t>
  </si>
  <si>
    <t>Lenguaje Script</t>
  </si>
  <si>
    <t>JavaScript</t>
  </si>
  <si>
    <t>Interactividad básica cliente</t>
  </si>
  <si>
    <t>Dev</t>
  </si>
  <si>
    <t>JS</t>
  </si>
  <si>
    <t>Base de datos web</t>
  </si>
  <si>
    <t>Oracle</t>
  </si>
  <si>
    <t>Backend del e-commerce</t>
  </si>
  <si>
    <t>SQL</t>
  </si>
  <si>
    <t>Servidor Web</t>
  </si>
  <si>
    <t>Apache</t>
  </si>
  <si>
    <t>Infraestructura open source</t>
  </si>
  <si>
    <t>Apache Foundation</t>
  </si>
  <si>
    <t>Protocolo seguro</t>
  </si>
  <si>
    <t>SSL 2.0</t>
  </si>
  <si>
    <t>Encriptación de transacciones</t>
  </si>
  <si>
    <t>Comunidad código</t>
  </si>
  <si>
    <t>SourceForge</t>
  </si>
  <si>
    <t>Repositorio software libre</t>
  </si>
  <si>
    <t>CVS</t>
  </si>
  <si>
    <t>VA Linux</t>
  </si>
  <si>
    <t>Portal niños</t>
  </si>
  <si>
    <t>Disney.com</t>
  </si>
  <si>
    <t>Contenido de marca</t>
  </si>
  <si>
    <t>Disney</t>
  </si>
  <si>
    <t>Web 2.0</t>
  </si>
  <si>
    <t>Red Social</t>
  </si>
  <si>
    <t>Friendster</t>
  </si>
  <si>
    <t>Conexión de perfiles</t>
  </si>
  <si>
    <t>Prosumidor</t>
  </si>
  <si>
    <t>Red Social Masiva</t>
  </si>
  <si>
    <t>MySpace</t>
  </si>
  <si>
    <t>Personalización de perfiles y música</t>
  </si>
  <si>
    <t>HTTP/Flash</t>
  </si>
  <si>
    <t>News Corp</t>
  </si>
  <si>
    <t>Enciclopedia Colaborativa</t>
  </si>
  <si>
    <t>Conocimiento libre y compartido</t>
  </si>
  <si>
    <t>Wiki</t>
  </si>
  <si>
    <t>Wikimedia</t>
  </si>
  <si>
    <t>Red Profesional</t>
  </si>
  <si>
    <t>LinkedIn</t>
  </si>
  <si>
    <t>Networking laboral</t>
  </si>
  <si>
    <t>Gestor Contenidos</t>
  </si>
  <si>
    <t>Blogs y webs autogestionables</t>
  </si>
  <si>
    <t>PHP/SQL</t>
  </si>
  <si>
    <t>Automattic</t>
  </si>
  <si>
    <t>Red Social Global</t>
  </si>
  <si>
    <t>Identidad digital real</t>
  </si>
  <si>
    <t>Graph API</t>
  </si>
  <si>
    <t>Video compartido</t>
  </si>
  <si>
    <t>Broadcast Yourself</t>
  </si>
  <si>
    <t>Streaming</t>
  </si>
  <si>
    <t>Información en tiempo real</t>
  </si>
  <si>
    <t>HTTP/API</t>
  </si>
  <si>
    <t>Twitter Inc</t>
  </si>
  <si>
    <t>Marcadores sociales</t>
  </si>
  <si>
    <t>Delicious</t>
  </si>
  <si>
    <t>Folksonomía y tags</t>
  </si>
  <si>
    <t>Agregador noticias</t>
  </si>
  <si>
    <t>Digg</t>
  </si>
  <si>
    <t>Curación social de contenidos</t>
  </si>
  <si>
    <t>Votante</t>
  </si>
  <si>
    <t>Noticias sociales</t>
  </si>
  <si>
    <t>Reddit</t>
  </si>
  <si>
    <t>El frontpage de internet</t>
  </si>
  <si>
    <t>Advance Publ.</t>
  </si>
  <si>
    <t>Mapas interactivos</t>
  </si>
  <si>
    <t>AJAX y navegación dinámica</t>
  </si>
  <si>
    <t>AJAX</t>
  </si>
  <si>
    <t>Fotos compartidas</t>
  </si>
  <si>
    <t>Flickr</t>
  </si>
  <si>
    <t>Comunidad de fotografía</t>
  </si>
  <si>
    <t>Llamadas por internet P2P hibrido</t>
  </si>
  <si>
    <t>eBay/Microsoft</t>
  </si>
  <si>
    <t>Música Streaming</t>
  </si>
  <si>
    <t>Acceso vs Propiedad musical</t>
  </si>
  <si>
    <t>Oyente</t>
  </si>
  <si>
    <t>P2P/Server</t>
  </si>
  <si>
    <t>Almacenamiento Nube</t>
  </si>
  <si>
    <t>Dropbox</t>
  </si>
  <si>
    <t>Sincronización de archivos</t>
  </si>
  <si>
    <t>Cloud</t>
  </si>
  <si>
    <t>Microblogging imagen</t>
  </si>
  <si>
    <t>Tumblr</t>
  </si>
  <si>
    <t>Blogging rápido y visual</t>
  </si>
  <si>
    <t>Geolocalización</t>
  </si>
  <si>
    <t>Foursquare</t>
  </si>
  <si>
    <t>Check-ins y gamificación</t>
  </si>
  <si>
    <t>GPS/API</t>
  </si>
  <si>
    <t>Q&amp;A Colaborativo</t>
  </si>
  <si>
    <t>Stack Overflow</t>
  </si>
  <si>
    <t>Conocimiento técnico compartido</t>
  </si>
  <si>
    <t>Stack Exchange</t>
  </si>
  <si>
    <t>Código compartido</t>
  </si>
  <si>
    <t>Git social para desarrolladores</t>
  </si>
  <si>
    <t>Navegador rápido</t>
  </si>
  <si>
    <t>Google Chrome</t>
  </si>
  <si>
    <t>Motor V8 y Web Apps</t>
  </si>
  <si>
    <t>HTTP/SPDY</t>
  </si>
  <si>
    <t>Mensajería móvil</t>
  </si>
  <si>
    <t>Sustitución del SMS</t>
  </si>
  <si>
    <t>XMPP (Mod)</t>
  </si>
  <si>
    <t>Fotografía móvil</t>
  </si>
  <si>
    <t>Filtros y socialización visual</t>
  </si>
  <si>
    <t>Economía compartida</t>
  </si>
  <si>
    <t>Uber</t>
  </si>
  <si>
    <t>Disrupción del transporte</t>
  </si>
  <si>
    <t>App/API</t>
  </si>
  <si>
    <t>Airbnb</t>
  </si>
  <si>
    <t>Disrupción hotelera</t>
  </si>
  <si>
    <t>Tablón visual</t>
  </si>
  <si>
    <t>Pinterest</t>
  </si>
  <si>
    <t>Curación de intereses visuales</t>
  </si>
  <si>
    <t>Video efímero</t>
  </si>
  <si>
    <t>Snapchat</t>
  </si>
  <si>
    <t>Contenido que desaparece</t>
  </si>
  <si>
    <t>App</t>
  </si>
  <si>
    <t>Snap</t>
  </si>
  <si>
    <t>Streaming Videojuegos</t>
  </si>
  <si>
    <t>Twitch</t>
  </si>
  <si>
    <t>TV en vivo para gamers</t>
  </si>
  <si>
    <t>Streamer</t>
  </si>
  <si>
    <t>RTMP</t>
  </si>
  <si>
    <t>Pagos móviles</t>
  </si>
  <si>
    <t>Stripe</t>
  </si>
  <si>
    <t>Infraestructura de pagos API</t>
  </si>
  <si>
    <t>Comercio</t>
  </si>
  <si>
    <t>API</t>
  </si>
  <si>
    <t>Productividad Nube</t>
  </si>
  <si>
    <t>Google Docs</t>
  </si>
  <si>
    <t>Colaboración en tiempo real</t>
  </si>
  <si>
    <t>AJAX/WS</t>
  </si>
  <si>
    <t>Citas</t>
  </si>
  <si>
    <t>Tinder</t>
  </si>
  <si>
    <t>Gamificación de las relaciones</t>
  </si>
  <si>
    <t>App/Geo</t>
  </si>
  <si>
    <t>Match Group</t>
  </si>
  <si>
    <t>Mensajería segura</t>
  </si>
  <si>
    <t>Telegram</t>
  </si>
  <si>
    <t>Canales y bots</t>
  </si>
  <si>
    <t>MTProto</t>
  </si>
  <si>
    <t>Video corto</t>
  </si>
  <si>
    <t>Vine</t>
  </si>
  <si>
    <t>Micro-entretenimiento (6 seg)</t>
  </si>
  <si>
    <t>Notas nube</t>
  </si>
  <si>
    <t>Evernote</t>
  </si>
  <si>
    <t>Cerebro digital externo</t>
  </si>
  <si>
    <t>Gestión proyectos</t>
  </si>
  <si>
    <t>Trello</t>
  </si>
  <si>
    <t>Kanban digital colaborativo</t>
  </si>
  <si>
    <t>SaaS</t>
  </si>
  <si>
    <t>Atlassian</t>
  </si>
  <si>
    <t>Comunicación equipo</t>
  </si>
  <si>
    <t>Slack</t>
  </si>
  <si>
    <t>Fin del email interno</t>
  </si>
  <si>
    <t>Trabajador</t>
  </si>
  <si>
    <t>Salesforce</t>
  </si>
  <si>
    <t>Videoconferencia</t>
  </si>
  <si>
    <t>Reuniones virtuales masivas</t>
  </si>
  <si>
    <t>WebRTC</t>
  </si>
  <si>
    <t>Diseño web</t>
  </si>
  <si>
    <t>Canva</t>
  </si>
  <si>
    <t>Diseño gráfico para no diseñadores</t>
  </si>
  <si>
    <t>Video corto viral</t>
  </si>
  <si>
    <t>TikTok</t>
  </si>
  <si>
    <t>Algoritmo de recomendación voraz</t>
  </si>
  <si>
    <t>AI/App</t>
  </si>
  <si>
    <t>Fintech</t>
  </si>
  <si>
    <t>Revolut</t>
  </si>
  <si>
    <t>Banca móvil sin sucursales</t>
  </si>
  <si>
    <t>Newsletter</t>
  </si>
  <si>
    <t>Substack</t>
  </si>
  <si>
    <t>Monetización de escritura directa</t>
  </si>
  <si>
    <t>Email/Web</t>
  </si>
  <si>
    <t>Audio social</t>
  </si>
  <si>
    <t>Clubhouse</t>
  </si>
  <si>
    <t>Radio interactiva en vivo</t>
  </si>
  <si>
    <t>Hablante</t>
  </si>
  <si>
    <t>Audio</t>
  </si>
  <si>
    <t>Alpha Expl.</t>
  </si>
  <si>
    <t>Comercio artesano</t>
  </si>
  <si>
    <t>Etsy</t>
  </si>
  <si>
    <t>Mercado de nicho global</t>
  </si>
  <si>
    <t>Vendedor</t>
  </si>
  <si>
    <t>Crowdfunding</t>
  </si>
  <si>
    <t>Kickstarter</t>
  </si>
  <si>
    <t>Financiación colectiva</t>
  </si>
  <si>
    <t>Mecenas</t>
  </si>
  <si>
    <t>Peticiones</t>
  </si>
  <si>
    <t>Change.org</t>
  </si>
  <si>
    <t>Activismo digital</t>
  </si>
  <si>
    <t>Firmante</t>
  </si>
  <si>
    <t>Educación online</t>
  </si>
  <si>
    <t>Coursera</t>
  </si>
  <si>
    <t>MOOCs masivos</t>
  </si>
  <si>
    <t>Estudiante</t>
  </si>
  <si>
    <t>Video</t>
  </si>
  <si>
    <t>Idiomas</t>
  </si>
  <si>
    <t>Duolingo</t>
  </si>
  <si>
    <t>Gamificación del aprendizaje</t>
  </si>
  <si>
    <t>Venta moda</t>
  </si>
  <si>
    <t>Vinted</t>
  </si>
  <si>
    <t>Economía circular ropa</t>
  </si>
  <si>
    <t>Streaming Cine</t>
  </si>
  <si>
    <t>Netflix</t>
  </si>
  <si>
    <t>Binge-watching y algoritmos</t>
  </si>
  <si>
    <t>DASH</t>
  </si>
  <si>
    <t>Música reconocimiento</t>
  </si>
  <si>
    <t>Shazam</t>
  </si>
  <si>
    <t>Identificación de audio</t>
  </si>
  <si>
    <t>Nube pública</t>
  </si>
  <si>
    <t>AWS</t>
  </si>
  <si>
    <t>Infraestructura de internet</t>
  </si>
  <si>
    <t>CRM Nube</t>
  </si>
  <si>
    <t>Software como servicio (SaaS)</t>
  </si>
  <si>
    <t>Inmobiliaria</t>
  </si>
  <si>
    <t>Idealista</t>
  </si>
  <si>
    <t>Búsqueda vivienda mapa</t>
  </si>
  <si>
    <t>Reparto comida</t>
  </si>
  <si>
    <t>Glovo</t>
  </si>
  <si>
    <t>Gig economy urbana</t>
  </si>
  <si>
    <t>Delivery Hero</t>
  </si>
  <si>
    <t>Reseñas</t>
  </si>
  <si>
    <t>TripAdvisor</t>
  </si>
  <si>
    <t>Influencia del usuario en turismo</t>
  </si>
  <si>
    <t>Mensajería Asia</t>
  </si>
  <si>
    <t>WeChat</t>
  </si>
  <si>
    <t>Super-App (todo en uno)</t>
  </si>
  <si>
    <t>Tencent</t>
  </si>
  <si>
    <t>Comunidad juegos</t>
  </si>
  <si>
    <t>Discord</t>
  </si>
  <si>
    <t>VoIP para comunidades</t>
  </si>
  <si>
    <t>Formularios</t>
  </si>
  <si>
    <t>Typeform</t>
  </si>
  <si>
    <t>Encuestas conversacionales</t>
  </si>
  <si>
    <t>Automatización</t>
  </si>
  <si>
    <t>Zapier</t>
  </si>
  <si>
    <t>Conexión entre APIs</t>
  </si>
  <si>
    <t>Juego colaborativo</t>
  </si>
  <si>
    <t>Roblox</t>
  </si>
  <si>
    <t>Metaverso temprano centralizado</t>
  </si>
  <si>
    <t>Roblox Corp</t>
  </si>
  <si>
    <t>Web 3.0</t>
  </si>
  <si>
    <t>Criptomoneda</t>
  </si>
  <si>
    <t>Bitcoin</t>
  </si>
  <si>
    <t>Dinero digital descentralizado</t>
  </si>
  <si>
    <t>HODLer</t>
  </si>
  <si>
    <t>Blockchain</t>
  </si>
  <si>
    <t>Baja</t>
  </si>
  <si>
    <t>Satoshi N.</t>
  </si>
  <si>
    <t>Contratos Inteligentes</t>
  </si>
  <si>
    <t>Computadora mundial programable</t>
  </si>
  <si>
    <t>Dev/User</t>
  </si>
  <si>
    <t>Ethereum Found.</t>
  </si>
  <si>
    <t>Navegador Privado</t>
  </si>
  <si>
    <t>Brave</t>
  </si>
  <si>
    <t>Bloqueo de trackers y rewards</t>
  </si>
  <si>
    <t>BAT/IPFS</t>
  </si>
  <si>
    <t>Brave Software</t>
  </si>
  <si>
    <t>DeFi (Finanzas)</t>
  </si>
  <si>
    <t>Uniswap</t>
  </si>
  <si>
    <t>Exchange descentralizado (DEX)</t>
  </si>
  <si>
    <t>Trader</t>
  </si>
  <si>
    <t>Smart Contract</t>
  </si>
  <si>
    <t>Uniswap Labs</t>
  </si>
  <si>
    <t>NFT Marketplace</t>
  </si>
  <si>
    <t>OpenSea</t>
  </si>
  <si>
    <t>Propiedad digital única</t>
  </si>
  <si>
    <t>Coleccionista</t>
  </si>
  <si>
    <t>ERC-721</t>
  </si>
  <si>
    <t>Cartera Web3</t>
  </si>
  <si>
    <t>MetaMask</t>
  </si>
  <si>
    <t>Pasaporte para la dWeb</t>
  </si>
  <si>
    <t>RPC/Web3</t>
  </si>
  <si>
    <t>ConsenSys</t>
  </si>
  <si>
    <t>Almacenamiento P2P</t>
  </si>
  <si>
    <t>IPFS</t>
  </si>
  <si>
    <t>Web permanente y distribuida</t>
  </si>
  <si>
    <t>P2P</t>
  </si>
  <si>
    <t>Protocol Labs</t>
  </si>
  <si>
    <t>Mundo Virtual</t>
  </si>
  <si>
    <t>Decentraland</t>
  </si>
  <si>
    <t>Metaverso propiedad usuarios</t>
  </si>
  <si>
    <t>Avatar</t>
  </si>
  <si>
    <t>DAO</t>
  </si>
  <si>
    <t>Oráculos</t>
  </si>
  <si>
    <t>Chainlink</t>
  </si>
  <si>
    <t>Datos mundo real en blockchain</t>
  </si>
  <si>
    <t>Identidad</t>
  </si>
  <si>
    <t>Worldcoin</t>
  </si>
  <si>
    <t>Prueba de humanidad (Iris)</t>
  </si>
  <si>
    <t>Biometría</t>
  </si>
  <si>
    <t>Tools for H.</t>
  </si>
  <si>
    <t>Red Social Fed.</t>
  </si>
  <si>
    <t>Mastodon</t>
  </si>
  <si>
    <t>Microblogging sin dueño único</t>
  </si>
  <si>
    <t>ActivityPub</t>
  </si>
  <si>
    <t>Non-profit</t>
  </si>
  <si>
    <t>Red Social Desc.</t>
  </si>
  <si>
    <t>Bluesky</t>
  </si>
  <si>
    <t>Protocolo AT para redes</t>
  </si>
  <si>
    <t>AT Protocol</t>
  </si>
  <si>
    <t>Bluesky PBLLC</t>
  </si>
  <si>
    <t>Juego P2E</t>
  </si>
  <si>
    <t>Axie Infinity</t>
  </si>
  <si>
    <t>Play to Earn (Jugar para ganar)</t>
  </si>
  <si>
    <t>Ronin</t>
  </si>
  <si>
    <t>Sky Mavis</t>
  </si>
  <si>
    <t>Stablecoin</t>
  </si>
  <si>
    <t>USDC</t>
  </si>
  <si>
    <t>Dólar digital en blockchain</t>
  </si>
  <si>
    <t>ERC-20</t>
  </si>
  <si>
    <t>Circle</t>
  </si>
  <si>
    <t>IA Generativa Texto</t>
  </si>
  <si>
    <t>Asistente conversacional avanzado</t>
  </si>
  <si>
    <t>Activo/IA</t>
  </si>
  <si>
    <t>Arte Generativo</t>
  </si>
  <si>
    <t>Texto a Imagen alta calidad</t>
  </si>
  <si>
    <t>Artista IA</t>
  </si>
  <si>
    <t>Discord/Web</t>
  </si>
  <si>
    <t>IA Código</t>
  </si>
  <si>
    <t>Autocompletado inteligente</t>
  </si>
  <si>
    <t>Microsoft/OpenAI</t>
  </si>
  <si>
    <t>Buscador IA</t>
  </si>
  <si>
    <t>Perplexity</t>
  </si>
  <si>
    <t>Búsqueda conversacional citada</t>
  </si>
  <si>
    <t>LLM</t>
  </si>
  <si>
    <t>Perplexity AI</t>
  </si>
  <si>
    <t>Video Generativo</t>
  </si>
  <si>
    <t>Texto a Video realista</t>
  </si>
  <si>
    <t>Diffusion</t>
  </si>
  <si>
    <t>Modelo Lenguaje</t>
  </si>
  <si>
    <t>Claude</t>
  </si>
  <si>
    <t>IA ética y segura</t>
  </si>
  <si>
    <t>Modelo Open Source</t>
  </si>
  <si>
    <t>Llama (Meta)</t>
  </si>
  <si>
    <t>IA accesible para ejecutar local</t>
  </si>
  <si>
    <t>Computación Espacial</t>
  </si>
  <si>
    <t>Apple Vision Pro</t>
  </si>
  <si>
    <t>Interfaz mixta inmersiva</t>
  </si>
  <si>
    <t>Interoperabilidad</t>
  </si>
  <si>
    <t>Polkadot</t>
  </si>
  <si>
    <t>Internet de blockchains</t>
  </si>
  <si>
    <t>Relay Chain</t>
  </si>
  <si>
    <t>Web3 Found.</t>
  </si>
  <si>
    <t>Almacenamiento Crypto</t>
  </si>
  <si>
    <t>Filecoin</t>
  </si>
  <si>
    <t>Mercado de almacenamiento</t>
  </si>
  <si>
    <t>Streaming Desc.</t>
  </si>
  <si>
    <t>Theta</t>
  </si>
  <si>
    <t>Video delivery descentralizado</t>
  </si>
  <si>
    <t>Theta Labs</t>
  </si>
  <si>
    <t>Organización DAO</t>
  </si>
  <si>
    <t>MakerDAO</t>
  </si>
  <si>
    <t>Gobernanza descentralizada</t>
  </si>
  <si>
    <t>Privacidad</t>
  </si>
  <si>
    <t>Tor Browser</t>
  </si>
  <si>
    <t>Navegación anónima (Onion)</t>
  </si>
  <si>
    <t>Onion Routing</t>
  </si>
  <si>
    <t>Tor Project</t>
  </si>
  <si>
    <t>Mensajería P2P</t>
  </si>
  <si>
    <t>Status</t>
  </si>
  <si>
    <t>Chat y Wallet integrado</t>
  </si>
  <si>
    <t>Waku</t>
  </si>
  <si>
    <t>Red Social Lens</t>
  </si>
  <si>
    <t>Lens Protocol</t>
  </si>
  <si>
    <t>Grafo social propiedad usuario</t>
  </si>
  <si>
    <t>Aave</t>
  </si>
  <si>
    <t>Música Web3</t>
  </si>
  <si>
    <t>Audius</t>
  </si>
  <si>
    <t>Streaming sin intermediarios</t>
  </si>
  <si>
    <t>Artista</t>
  </si>
  <si>
    <t>Predicciones</t>
  </si>
  <si>
    <t>Polymarket</t>
  </si>
  <si>
    <t>Mercado de predicción desc.</t>
  </si>
  <si>
    <t>Apostante</t>
  </si>
  <si>
    <t>Gráficos Vectoriales</t>
  </si>
  <si>
    <t>Figma</t>
  </si>
  <si>
    <t>Diseño colaborativo en navegador</t>
  </si>
  <si>
    <t>Diseñador</t>
  </si>
  <si>
    <t>WebGL/WASM</t>
  </si>
  <si>
    <t>IA Empresarial</t>
  </si>
  <si>
    <t>Microsoft Copilot</t>
  </si>
  <si>
    <t>IA en Office 365</t>
  </si>
  <si>
    <t>IA Google</t>
  </si>
  <si>
    <t>Modelo multimodal nativo</t>
  </si>
  <si>
    <t>Multimodal</t>
  </si>
  <si>
    <t>Hardware IA</t>
  </si>
  <si>
    <t>Chips para entrenar IA</t>
  </si>
  <si>
    <t>Base Datos Vector</t>
  </si>
  <si>
    <t>Pinecone</t>
  </si>
  <si>
    <t>Memoria para IAs</t>
  </si>
  <si>
    <t>Framework IA</t>
  </si>
  <si>
    <t>LangChain</t>
  </si>
  <si>
    <t>Orquestación de LLMs</t>
  </si>
  <si>
    <t>Python/JS</t>
  </si>
  <si>
    <t>Plataforma IA</t>
  </si>
  <si>
    <t>Hugging Face</t>
  </si>
  <si>
    <t>El GitHub de la IA</t>
  </si>
  <si>
    <t>Git/Modelos</t>
  </si>
  <si>
    <t>Buscador Privado</t>
  </si>
  <si>
    <t>DuckDuckGo</t>
  </si>
  <si>
    <t>Búsqueda sin rastreo</t>
  </si>
  <si>
    <t>VPN Descentralizada</t>
  </si>
  <si>
    <t>Orchid</t>
  </si>
  <si>
    <t>Privacidad en red incentivada</t>
  </si>
  <si>
    <t>Identidad Soberana</t>
  </si>
  <si>
    <t>Civic</t>
  </si>
  <si>
    <t>Control de datos personales</t>
  </si>
  <si>
    <t>Ciberseguridad IA</t>
  </si>
  <si>
    <t>CrowdStrike</t>
  </si>
  <si>
    <t>Defensa predictiva en nube</t>
  </si>
  <si>
    <t>AI Cloud</t>
  </si>
  <si>
    <t>Computación Borde</t>
  </si>
  <si>
    <t>Cloudflare Workers</t>
  </si>
  <si>
    <t>Ejecución código en el edge</t>
  </si>
  <si>
    <t>Serverless</t>
  </si>
  <si>
    <t>Cloudflare</t>
  </si>
  <si>
    <t>Registro Dominios</t>
  </si>
  <si>
    <t>ENS (Ethereum Name)</t>
  </si>
  <si>
    <t>Dominios .eth descentralizados</t>
  </si>
  <si>
    <t>True Names</t>
  </si>
  <si>
    <t>Coleccionables</t>
  </si>
  <si>
    <t>NBA Top Shot</t>
  </si>
  <si>
    <t>Momentos deportivos NFT</t>
  </si>
  <si>
    <t>Fan</t>
  </si>
  <si>
    <t>Flow</t>
  </si>
  <si>
    <t>Dapper Labs</t>
  </si>
  <si>
    <t>Metaverso Corp</t>
  </si>
  <si>
    <t>Horizon Worlds</t>
  </si>
  <si>
    <t>VR social centralizada</t>
  </si>
  <si>
    <t>VR</t>
  </si>
  <si>
    <t>Realidad Aumentada</t>
  </si>
  <si>
    <t>Pokémon GO</t>
  </si>
  <si>
    <t>AR geolocalizada masiva</t>
  </si>
  <si>
    <t>Geo/AR</t>
  </si>
  <si>
    <t>Niantic</t>
  </si>
  <si>
    <t>Crypto Exchange</t>
  </si>
  <si>
    <t>Binance</t>
  </si>
  <si>
    <t>Intercambio masivo centralizado</t>
  </si>
  <si>
    <t>CEX</t>
  </si>
  <si>
    <t>Stablecoin Algo</t>
  </si>
  <si>
    <t>DAI</t>
  </si>
  <si>
    <t>Dólar algorítmico descentralizado</t>
  </si>
  <si>
    <t>Layer 2</t>
  </si>
  <si>
    <t>Arbitrum</t>
  </si>
  <si>
    <t>Escalabilidad para Ethereum</t>
  </si>
  <si>
    <t>Rollup</t>
  </si>
  <si>
    <t>Offchain Labs</t>
  </si>
  <si>
    <t>Optimism</t>
  </si>
  <si>
    <t>Escalabilidad optimista</t>
  </si>
  <si>
    <t>Optimism Foundation</t>
  </si>
  <si>
    <t>Cross-chain</t>
  </si>
  <si>
    <t>Cosmos</t>
  </si>
  <si>
    <t>IBC</t>
  </si>
  <si>
    <t>Interchain</t>
  </si>
  <si>
    <t>Solana</t>
  </si>
  <si>
    <t>Blockchain alta velocidad</t>
  </si>
  <si>
    <t>PoH</t>
  </si>
  <si>
    <t>Solana Labs</t>
  </si>
  <si>
    <t>Monero</t>
  </si>
  <si>
    <t>Dinero digital anónimo</t>
  </si>
  <si>
    <t>Ring Sig</t>
  </si>
  <si>
    <t>Comunidad</t>
  </si>
  <si>
    <t>Almacenamiento</t>
  </si>
  <si>
    <t>Arweave</t>
  </si>
  <si>
    <t>Almacenamiento permanente</t>
  </si>
  <si>
    <t>Blockweave</t>
  </si>
  <si>
    <t>Video IA</t>
  </si>
  <si>
    <t>Runway Gen-2</t>
  </si>
  <si>
    <t>Edición video con IA</t>
  </si>
  <si>
    <t>AI Model</t>
  </si>
  <si>
    <t>Runway</t>
  </si>
  <si>
    <t>Voz IA</t>
  </si>
  <si>
    <t>ElevenLabs</t>
  </si>
  <si>
    <t>Clonación de voz realista</t>
  </si>
  <si>
    <t>AI Audio</t>
  </si>
  <si>
    <t>Traducción IA</t>
  </si>
  <si>
    <t>DeepL</t>
  </si>
  <si>
    <t>Traducción neuronal superior</t>
  </si>
  <si>
    <t>Neural Net</t>
  </si>
  <si>
    <t>Resumen IA</t>
  </si>
  <si>
    <t>Notion AI</t>
  </si>
  <si>
    <t>Productividad aumentada</t>
  </si>
  <si>
    <t>Notion</t>
  </si>
  <si>
    <t>Código IA</t>
  </si>
  <si>
    <t>Replit Ghostwriter</t>
  </si>
  <si>
    <t>IDE colaborativo con IA</t>
  </si>
  <si>
    <t>Cloud/AI</t>
  </si>
  <si>
    <t>Replit</t>
  </si>
  <si>
    <t>Legal Tech</t>
  </si>
  <si>
    <t>DoNotPay</t>
  </si>
  <si>
    <t>Abogado robot</t>
  </si>
  <si>
    <t>AI</t>
  </si>
  <si>
    <t>Salud IA</t>
  </si>
  <si>
    <t>AlphaFold</t>
  </si>
  <si>
    <t>Predicción estructura proteínas</t>
  </si>
  <si>
    <t>Científico</t>
  </si>
  <si>
    <t>Optimus (Tesla)</t>
  </si>
  <si>
    <t>Bot humanoide generalista</t>
  </si>
  <si>
    <t>Futuro</t>
  </si>
  <si>
    <t>AI/Hard</t>
  </si>
  <si>
    <t>Web Semántica</t>
  </si>
  <si>
    <t>Schema.org</t>
  </si>
  <si>
    <t>Vocabularios estructurados</t>
  </si>
  <si>
    <t>Microdata</t>
  </si>
  <si>
    <t>Google/MS/Yahoo</t>
  </si>
  <si>
    <t>Navegador Crypto</t>
  </si>
  <si>
    <t>Opera Crypto</t>
  </si>
  <si>
    <t>Web3 integrado nativo</t>
  </si>
  <si>
    <t>HTTP/Web3</t>
  </si>
  <si>
    <t>Opera</t>
  </si>
  <si>
    <t>Red Social Voz</t>
  </si>
  <si>
    <t>Discord (Stage)</t>
  </si>
  <si>
    <t>Salas de audio comunitarias</t>
  </si>
  <si>
    <t>Streaming Des.</t>
  </si>
  <si>
    <t>Livepeer</t>
  </si>
  <si>
    <t>Transcoding video distribuido</t>
  </si>
  <si>
    <t>Computación</t>
  </si>
  <si>
    <t>Golem</t>
  </si>
  <si>
    <t>Airbnb de la computación</t>
  </si>
  <si>
    <t>Golem Factory</t>
  </si>
  <si>
    <t>IoT</t>
  </si>
  <si>
    <t>Helium</t>
  </si>
  <si>
    <t>Red inalámbrica descentralizada</t>
  </si>
  <si>
    <t>LoRaWAN</t>
  </si>
  <si>
    <t>Helium Inc</t>
  </si>
  <si>
    <t>Finanzas</t>
  </si>
  <si>
    <t>Compound</t>
  </si>
  <si>
    <t>Préstamos algorítmicos</t>
  </si>
  <si>
    <t>Compound Labs</t>
  </si>
  <si>
    <t>Tokenización</t>
  </si>
  <si>
    <t>Chiliz</t>
  </si>
  <si>
    <t>Fan tokens deportes</t>
  </si>
  <si>
    <t>Socios.com</t>
  </si>
  <si>
    <t>Juego NFT</t>
  </si>
  <si>
    <t>Gods Unchained</t>
  </si>
  <si>
    <t>Cartas coleccionables reales</t>
  </si>
  <si>
    <t>Immutable X</t>
  </si>
  <si>
    <t>Immutable</t>
  </si>
  <si>
    <t>Metaverso</t>
  </si>
  <si>
    <t>The Sandbox</t>
  </si>
  <si>
    <t>Vóxeles y tierra virtual</t>
  </si>
  <si>
    <t>Animoca Brands</t>
  </si>
  <si>
    <t>Educación</t>
  </si>
  <si>
    <t>Khanmigo</t>
  </si>
  <si>
    <t>Tutor IA personalizado</t>
  </si>
  <si>
    <t>Khan Academy</t>
  </si>
  <si>
    <t>Búsqueda</t>
  </si>
  <si>
    <t>Bing Chat</t>
  </si>
  <si>
    <t>Búsqueda con GPT-4</t>
  </si>
  <si>
    <t>Programación</t>
  </si>
  <si>
    <t>Tabnine</t>
  </si>
  <si>
    <t>Autocompletado local IA</t>
  </si>
  <si>
    <t>Diseño</t>
  </si>
  <si>
    <t>Adobe Firefly</t>
  </si>
  <si>
    <t>IA generativa ética en PS</t>
  </si>
  <si>
    <t>3D Generativo</t>
  </si>
  <si>
    <t>Luma AI</t>
  </si>
  <si>
    <t>NeRFs y 3D desde video</t>
  </si>
  <si>
    <t>AI/3D</t>
  </si>
  <si>
    <t>Música IA</t>
  </si>
  <si>
    <t>Suno</t>
  </si>
  <si>
    <t>Generación canciones completas</t>
  </si>
  <si>
    <t>Ready Player Me</t>
  </si>
  <si>
    <t>Avatares interoperables</t>
  </si>
  <si>
    <t>3D</t>
  </si>
  <si>
    <t>Wolf3D</t>
  </si>
  <si>
    <t>Signal</t>
  </si>
  <si>
    <t>Privacidad extrema por defecto</t>
  </si>
  <si>
    <t>Signal Protocol</t>
  </si>
  <si>
    <t>Signal Found.</t>
  </si>
  <si>
    <t>Nube Des.</t>
  </si>
  <si>
    <t>Akash</t>
  </si>
  <si>
    <t>Marketplace de computación nube</t>
  </si>
  <si>
    <t>Akash Network</t>
  </si>
  <si>
    <t>Intercambio</t>
  </si>
  <si>
    <t>Curve</t>
  </si>
  <si>
    <t>DEX optimizado stablecoins</t>
  </si>
  <si>
    <t>AMM</t>
  </si>
  <si>
    <t>Yield Farming</t>
  </si>
  <si>
    <t>Yearn Finance</t>
  </si>
  <si>
    <t>Optimización de rendimientos</t>
  </si>
  <si>
    <t>Inversor</t>
  </si>
  <si>
    <t>Aggregator</t>
  </si>
  <si>
    <t>Yearn</t>
  </si>
  <si>
    <t>Puente</t>
  </si>
  <si>
    <t>Wormhole</t>
  </si>
  <si>
    <t>Conexión entre blockchains</t>
  </si>
  <si>
    <t>Jump Crypto</t>
  </si>
  <si>
    <t>Social Graph</t>
  </si>
  <si>
    <t>Farcaster</t>
  </si>
  <si>
    <t>Protocolo social suficiente</t>
  </si>
  <si>
    <t>Merkle Manufactory</t>
  </si>
  <si>
    <t>Wallet Hardware</t>
  </si>
  <si>
    <t>Ledger Nano</t>
  </si>
  <si>
    <t>Seguridad en frío</t>
  </si>
  <si>
    <t>Ledger</t>
  </si>
  <si>
    <t>Trezor</t>
  </si>
  <si>
    <t>Seguridad open source</t>
  </si>
  <si>
    <t>SatoshiLabs</t>
  </si>
  <si>
    <t>Indexación</t>
  </si>
  <si>
    <t>The Graph</t>
  </si>
  <si>
    <t>Google de la Blockchain</t>
  </si>
  <si>
    <t>GraphQL</t>
  </si>
  <si>
    <t>Probabilidad</t>
  </si>
  <si>
    <t>Gnosis</t>
  </si>
  <si>
    <t>Mercados de predicción y safes</t>
  </si>
  <si>
    <t>Sia</t>
  </si>
  <si>
    <t>Nube descentralizada privada</t>
  </si>
  <si>
    <t>Skynet</t>
  </si>
  <si>
    <t>DLive</t>
  </si>
  <si>
    <t>Streaming en blockchain</t>
  </si>
  <si>
    <t>BitTorrent</t>
  </si>
  <si>
    <t>Plataforma</t>
  </si>
  <si>
    <t>Riesgo (1-10)</t>
  </si>
  <si>
    <t>Riesgo Identificado</t>
  </si>
  <si>
    <t>Usuarios (M)</t>
  </si>
  <si>
    <t>Categoría</t>
  </si>
  <si>
    <t>Edad Mín.</t>
  </si>
  <si>
    <t>Sede</t>
  </si>
  <si>
    <t>Modelo</t>
  </si>
  <si>
    <t>Uso Diario (min)</t>
  </si>
  <si>
    <t>Etiqueta Riesgo</t>
  </si>
  <si>
    <t>Privacidad de menores</t>
  </si>
  <si>
    <t>Vídeo</t>
  </si>
  <si>
    <t>Publicidad</t>
  </si>
  <si>
    <t>Salud mental (Autoestima)</t>
  </si>
  <si>
    <t>Imagen</t>
  </si>
  <si>
    <t>Filtración masiva datos</t>
  </si>
  <si>
    <t>Datos</t>
  </si>
  <si>
    <t>Desinformación viral</t>
  </si>
  <si>
    <t>Gratis</t>
  </si>
  <si>
    <t>Phishing laboral</t>
  </si>
  <si>
    <t>Profesional</t>
  </si>
  <si>
    <t>Suscripción</t>
  </si>
  <si>
    <t>Radicalización algoritmo</t>
  </si>
  <si>
    <t>Sextorsión</t>
  </si>
  <si>
    <t>Twitter (X)</t>
  </si>
  <si>
    <t>Discurso de odio</t>
  </si>
  <si>
    <t>Mixto</t>
  </si>
  <si>
    <t>Contenido ilegal/Estafas</t>
  </si>
  <si>
    <t>EAU</t>
  </si>
  <si>
    <t>Freemium</t>
  </si>
  <si>
    <t>Trastornos alimenticios</t>
  </si>
  <si>
    <t>Cámaras de eco</t>
  </si>
  <si>
    <t>Foro</t>
  </si>
  <si>
    <t>Grooming (Acoso menores)</t>
  </si>
  <si>
    <t>Chat/Voz</t>
  </si>
  <si>
    <t>Interacción parasocial</t>
  </si>
  <si>
    <t>Sedentarismo</t>
  </si>
  <si>
    <t>Problemas auditivos</t>
  </si>
  <si>
    <t>Música</t>
  </si>
  <si>
    <t>Catfishing/Estafas</t>
  </si>
  <si>
    <t>Bumble</t>
  </si>
  <si>
    <t>Acoso</t>
  </si>
  <si>
    <t>Grindr</t>
  </si>
  <si>
    <t>Exposición ubicación</t>
  </si>
  <si>
    <t>Depredadores sexuales</t>
  </si>
  <si>
    <t>Juegos</t>
  </si>
  <si>
    <t>Microtransacción</t>
  </si>
  <si>
    <t>Adicción al juego</t>
  </si>
  <si>
    <t>Minecraft</t>
  </si>
  <si>
    <t>Griefing (Acoso juego)</t>
  </si>
  <si>
    <t>Pago único</t>
  </si>
  <si>
    <t>Zoombombing</t>
  </si>
  <si>
    <t>Productividad</t>
  </si>
  <si>
    <t>Estrés laboral (Burnout)</t>
  </si>
  <si>
    <t>Teams</t>
  </si>
  <si>
    <t>Vigilancia laboral</t>
  </si>
  <si>
    <t>Vigilancia estatal</t>
  </si>
  <si>
    <t>SuperApp</t>
  </si>
  <si>
    <t>Douyin</t>
  </si>
  <si>
    <t>Adicción extrema</t>
  </si>
  <si>
    <t>Sina Weibo</t>
  </si>
  <si>
    <t>Censura política</t>
  </si>
  <si>
    <t>Line</t>
  </si>
  <si>
    <t>Estafas financieras</t>
  </si>
  <si>
    <t>KakaoTalk</t>
  </si>
  <si>
    <t>Ciberacoso escolar</t>
  </si>
  <si>
    <t>Corea Sur</t>
  </si>
  <si>
    <t>VK (Vkontakte)</t>
  </si>
  <si>
    <t>Propaganda</t>
  </si>
  <si>
    <t>Rusia</t>
  </si>
  <si>
    <t>Uso delictivo (oculto)</t>
  </si>
  <si>
    <t>Donación</t>
  </si>
  <si>
    <t>Rastreo ubicación</t>
  </si>
  <si>
    <t>Utilidad</t>
  </si>
  <si>
    <t>Google Photos</t>
  </si>
  <si>
    <t>Reconocimiento facial</t>
  </si>
  <si>
    <t>Gmail</t>
  </si>
  <si>
    <t>Spam/Phishing</t>
  </si>
  <si>
    <t>Outlook</t>
  </si>
  <si>
    <t>Malware en adjuntos</t>
  </si>
  <si>
    <t>Robo de archivos</t>
  </si>
  <si>
    <t>Nube</t>
  </si>
  <si>
    <t>iCloud</t>
  </si>
  <si>
    <t>Filtración fotos privadas</t>
  </si>
  <si>
    <t>OnlyFans</t>
  </si>
  <si>
    <t>Contenido adulto/Estafa</t>
  </si>
  <si>
    <t>Adultos</t>
  </si>
  <si>
    <t>R.Unido</t>
  </si>
  <si>
    <t>Comisión</t>
  </si>
  <si>
    <t>Pornhub</t>
  </si>
  <si>
    <t>Trata de personas</t>
  </si>
  <si>
    <t>Shein</t>
  </si>
  <si>
    <t>Patrones oscuros (Dark Patterns)</t>
  </si>
  <si>
    <t>E-commerce</t>
  </si>
  <si>
    <t>Venta</t>
  </si>
  <si>
    <t>Temu</t>
  </si>
  <si>
    <t>Spyware/Malware</t>
  </si>
  <si>
    <t>Falsificaciones</t>
  </si>
  <si>
    <t>AliExpress</t>
  </si>
  <si>
    <t>Estafa producto</t>
  </si>
  <si>
    <t>Fraude en subastas</t>
  </si>
  <si>
    <t>Cámaras ocultas</t>
  </si>
  <si>
    <t>Viajes</t>
  </si>
  <si>
    <t>Seguridad física</t>
  </si>
  <si>
    <t>Cabify</t>
  </si>
  <si>
    <t>Seguridad datos</t>
  </si>
  <si>
    <t>España</t>
  </si>
  <si>
    <t>BlaBlaCar</t>
  </si>
  <si>
    <t>Seguridad en ruta</t>
  </si>
  <si>
    <t>Booking</t>
  </si>
  <si>
    <t>Overbooking/Estafa</t>
  </si>
  <si>
    <t>Reseñas falsas</t>
  </si>
  <si>
    <t>Strava</t>
  </si>
  <si>
    <t>Revelación ubicación casa</t>
  </si>
  <si>
    <t>Fitness</t>
  </si>
  <si>
    <t>MyFitnessPal</t>
  </si>
  <si>
    <t>Fitbit</t>
  </si>
  <si>
    <t>Fuga datos salud</t>
  </si>
  <si>
    <t>Salud</t>
  </si>
  <si>
    <t>Flo</t>
  </si>
  <si>
    <t>Privacidad ciclo menstrual</t>
  </si>
  <si>
    <t>Notificaciones intrusivas</t>
  </si>
  <si>
    <t>Kahoot</t>
  </si>
  <si>
    <t>Nombres ofensivos</t>
  </si>
  <si>
    <t>Noruega</t>
  </si>
  <si>
    <t>ClassDojo</t>
  </si>
  <si>
    <t>Privacidad infantil</t>
  </si>
  <si>
    <t>Alucinaciones/Mentiras</t>
  </si>
  <si>
    <t>IA Gen</t>
  </si>
  <si>
    <t>Derechos de autor</t>
  </si>
  <si>
    <t>IA Arte</t>
  </si>
  <si>
    <t>Deepfakes</t>
  </si>
  <si>
    <t>Créditos</t>
  </si>
  <si>
    <t>Character.AI</t>
  </si>
  <si>
    <t>Dependencia emocional</t>
  </si>
  <si>
    <t>IA Chat</t>
  </si>
  <si>
    <t>Replika</t>
  </si>
  <si>
    <t>Erotismo IA/Dependencia</t>
  </si>
  <si>
    <t>Pérdida financiera</t>
  </si>
  <si>
    <t>Cripto</t>
  </si>
  <si>
    <t>Malta</t>
  </si>
  <si>
    <t>Coinbase</t>
  </si>
  <si>
    <t>Phishing bancario</t>
  </si>
  <si>
    <t>Robo de cartera</t>
  </si>
  <si>
    <t>Bloqueo de cuentas</t>
  </si>
  <si>
    <t>Retención fondos</t>
  </si>
  <si>
    <t>Bizum</t>
  </si>
  <si>
    <t>Estafa envío dinero</t>
  </si>
  <si>
    <t>Venmo</t>
  </si>
  <si>
    <t>Privacidad transacciones</t>
  </si>
  <si>
    <t>Cash App</t>
  </si>
  <si>
    <t>Lavado de dinero</t>
  </si>
  <si>
    <t>Biometría iris</t>
  </si>
  <si>
    <t>Token</t>
  </si>
  <si>
    <t>Genshin Impact</t>
  </si>
  <si>
    <t>Ludopatía (Gacha)</t>
  </si>
  <si>
    <t>Gacha</t>
  </si>
  <si>
    <t>League of Legends</t>
  </si>
  <si>
    <t>Toxicidad verbal</t>
  </si>
  <si>
    <t>Call of Duty</t>
  </si>
  <si>
    <t>Violencia/Insultos</t>
  </si>
  <si>
    <t>Pago/Micro</t>
  </si>
  <si>
    <t>Candy Crush</t>
  </si>
  <si>
    <t>Adicción patrón oscuro</t>
  </si>
  <si>
    <t>Clash Royale</t>
  </si>
  <si>
    <t>Ludopatía infantil</t>
  </si>
  <si>
    <t>Among Us</t>
  </si>
  <si>
    <t>Griefing</t>
  </si>
  <si>
    <t>Steam</t>
  </si>
  <si>
    <t>Estafas de items</t>
  </si>
  <si>
    <t>Gaming</t>
  </si>
  <si>
    <t>PlayStation Net</t>
  </si>
  <si>
    <t>Acoso voz</t>
  </si>
  <si>
    <t>Xbox Live</t>
  </si>
  <si>
    <t>Nintendo Online</t>
  </si>
  <si>
    <t>Limitación comunicación</t>
  </si>
  <si>
    <t>BeReal</t>
  </si>
  <si>
    <t>Discurso odio audio</t>
  </si>
  <si>
    <t>Threads</t>
  </si>
  <si>
    <t>Recopilación datos</t>
  </si>
  <si>
    <t>Doxing (en instancias)</t>
  </si>
  <si>
    <t>Comunidades tóxicas</t>
  </si>
  <si>
    <t>Robo propiedad intel.</t>
  </si>
  <si>
    <t>Vimeo</t>
  </si>
  <si>
    <t>Coste oculto</t>
  </si>
  <si>
    <t>Dailymotion</t>
  </si>
  <si>
    <t>Contenido pirata</t>
  </si>
  <si>
    <t>Rumble</t>
  </si>
  <si>
    <t>Desinformación</t>
  </si>
  <si>
    <t>Truth Social</t>
  </si>
  <si>
    <t>Cámara de eco política</t>
  </si>
  <si>
    <t>Parler</t>
  </si>
  <si>
    <t>Extremismo</t>
  </si>
  <si>
    <t>Bilibili</t>
  </si>
  <si>
    <t>Adicción anime</t>
  </si>
  <si>
    <t>Kuaishou</t>
  </si>
  <si>
    <t>Contenido vulgar</t>
  </si>
  <si>
    <t>QQ</t>
  </si>
  <si>
    <t>Vigilancia</t>
  </si>
  <si>
    <t>Viber</t>
  </si>
  <si>
    <t>Spam</t>
  </si>
  <si>
    <t>IMO</t>
  </si>
  <si>
    <t>Seguridad baja</t>
  </si>
  <si>
    <t>Suplantación identidad</t>
  </si>
  <si>
    <t>Google Meet</t>
  </si>
  <si>
    <t>Intrusión reuniones</t>
  </si>
  <si>
    <t>Webex</t>
  </si>
  <si>
    <t>Vulnerabilidades</t>
  </si>
  <si>
    <t>Fuga información corp</t>
  </si>
  <si>
    <t>Pérdida de notas</t>
  </si>
  <si>
    <t>Phishing imitaciones</t>
  </si>
  <si>
    <t>Australia</t>
  </si>
  <si>
    <t>Adobe Cloud</t>
  </si>
  <si>
    <t>Coste abusivo</t>
  </si>
  <si>
    <t>Fuga diseños</t>
  </si>
  <si>
    <t>Malware en repos</t>
  </si>
  <si>
    <t>Desarrollo</t>
  </si>
  <si>
    <t>GitLab</t>
  </si>
  <si>
    <t>Fuga código</t>
  </si>
  <si>
    <t>Código inseguro</t>
  </si>
  <si>
    <t>Certificados falsos</t>
  </si>
  <si>
    <t>Pago</t>
  </si>
  <si>
    <t>Udemy</t>
  </si>
  <si>
    <t>Calidad cursos baja</t>
  </si>
  <si>
    <t>edX</t>
  </si>
  <si>
    <t>Ninguno</t>
  </si>
  <si>
    <t>Gratis/Pago</t>
  </si>
  <si>
    <t>Brainly</t>
  </si>
  <si>
    <t>Trampas académicas</t>
  </si>
  <si>
    <t>Polonia</t>
  </si>
  <si>
    <t>Chegg</t>
  </si>
  <si>
    <t>Plagio académico</t>
  </si>
  <si>
    <t>Wattpad</t>
  </si>
  <si>
    <t>Fanfiction erótico</t>
  </si>
  <si>
    <t>Lectura</t>
  </si>
  <si>
    <t>Goodreads</t>
  </si>
  <si>
    <t>Reseñas tóxicas</t>
  </si>
  <si>
    <t>DRM (Bloqueo)</t>
  </si>
  <si>
    <t>Audible</t>
  </si>
  <si>
    <t>Coste</t>
  </si>
  <si>
    <t>SoundCloud</t>
  </si>
  <si>
    <t>Bots de música</t>
  </si>
  <si>
    <t>Deezer</t>
  </si>
  <si>
    <t>Apple Music</t>
  </si>
  <si>
    <t>Tidal</t>
  </si>
  <si>
    <t>Coste alto</t>
  </si>
  <si>
    <t>Disney+</t>
  </si>
  <si>
    <t>HBO Max</t>
  </si>
  <si>
    <t>Contenido adulto</t>
  </si>
  <si>
    <t>Prime Video</t>
  </si>
  <si>
    <t>Hulu</t>
  </si>
  <si>
    <t>Ads intrusivos</t>
  </si>
  <si>
    <t>Peacock</t>
  </si>
  <si>
    <t>Paramount+</t>
  </si>
  <si>
    <t>Apple TV+</t>
  </si>
  <si>
    <t>Catálogo escaso</t>
  </si>
  <si>
    <t>Roku</t>
  </si>
  <si>
    <t>Rastreo visual TV</t>
  </si>
  <si>
    <t>Chromecast</t>
  </si>
  <si>
    <t>Fire TV</t>
  </si>
  <si>
    <t>Peloton</t>
  </si>
  <si>
    <t>Garmin</t>
  </si>
  <si>
    <t>Fuga rutas GPS</t>
  </si>
  <si>
    <t>Nike Run Club</t>
  </si>
  <si>
    <t>Rastreo GPS</t>
  </si>
  <si>
    <t>Adidas Running</t>
  </si>
  <si>
    <t>BetterHelp</t>
  </si>
  <si>
    <t>Venta datos salud</t>
  </si>
  <si>
    <t>Doctoralia</t>
  </si>
  <si>
    <t>Falsas credenciales</t>
  </si>
  <si>
    <t>Directorio</t>
  </si>
  <si>
    <t>Tinder (Gold)</t>
  </si>
  <si>
    <t>Coste adictivo</t>
  </si>
  <si>
    <t>Hinge</t>
  </si>
  <si>
    <t>OkCupid</t>
  </si>
  <si>
    <t>Datos íntimos</t>
  </si>
  <si>
    <t>Plenty of Fish</t>
  </si>
  <si>
    <t>Bots/Spam</t>
  </si>
  <si>
    <t>Happn</t>
  </si>
  <si>
    <t>Acoso por cercanía</t>
  </si>
  <si>
    <t>Meetic</t>
  </si>
  <si>
    <t>Badoo</t>
  </si>
  <si>
    <t>Perfiles falsos</t>
  </si>
  <si>
    <t>Ashley Madison</t>
  </si>
  <si>
    <t>Extorsión</t>
  </si>
  <si>
    <t>Wallapop</t>
  </si>
  <si>
    <t>Quedadas inseguras</t>
  </si>
  <si>
    <t>Segunda Mano</t>
  </si>
  <si>
    <t>Estafa envío</t>
  </si>
  <si>
    <t>Lituania</t>
  </si>
  <si>
    <t>Milanuncios</t>
  </si>
  <si>
    <t>Estafas bancarias</t>
  </si>
  <si>
    <t>Delitos físicos</t>
  </si>
  <si>
    <t>Alquiler falso</t>
  </si>
  <si>
    <t>Fotocasa</t>
  </si>
  <si>
    <t>Zillow</t>
  </si>
  <si>
    <t>Datos vivienda</t>
  </si>
  <si>
    <t>Google Earth</t>
  </si>
  <si>
    <t>Privacidad hogar</t>
  </si>
  <si>
    <t>Waze</t>
  </si>
  <si>
    <t>Patrullas policía</t>
  </si>
  <si>
    <t>Israel</t>
  </si>
  <si>
    <t>Citymapper</t>
  </si>
  <si>
    <t>Rastreo rutas</t>
  </si>
  <si>
    <t>Google Drive</t>
  </si>
  <si>
    <t>Escaneo contenido</t>
  </si>
  <si>
    <t>OneDrive</t>
  </si>
  <si>
    <t>Box</t>
  </si>
  <si>
    <t>Seguridad corp</t>
  </si>
  <si>
    <t>WeTransfer</t>
  </si>
  <si>
    <t>Archivos maliciosos</t>
  </si>
  <si>
    <t>Mega</t>
  </si>
  <si>
    <t>N.Zelanda</t>
  </si>
  <si>
    <t>Acceso Dark Web</t>
  </si>
  <si>
    <t>Crypto estafas ads</t>
  </si>
  <si>
    <t>Ads Propio</t>
  </si>
  <si>
    <t>Préstamos dudosos</t>
  </si>
  <si>
    <t>Firefox</t>
  </si>
  <si>
    <t>Edge</t>
  </si>
  <si>
    <t>Rastreo agresivo</t>
  </si>
  <si>
    <t>Safari</t>
  </si>
  <si>
    <t>Buscador</t>
  </si>
  <si>
    <t>Bing</t>
  </si>
  <si>
    <t>Censura en China</t>
  </si>
  <si>
    <t>Yandex</t>
  </si>
  <si>
    <t>Vigilancia rusa</t>
  </si>
  <si>
    <t>Baidu</t>
  </si>
  <si>
    <t>Censura estatal</t>
  </si>
  <si>
    <t>ProtonMail</t>
  </si>
  <si>
    <t>Suiza</t>
  </si>
  <si>
    <t>Tutanota</t>
  </si>
  <si>
    <t>LastPass</t>
  </si>
  <si>
    <t>Hackeo bóveda</t>
  </si>
  <si>
    <t>1Password</t>
  </si>
  <si>
    <t>Bitwarden</t>
  </si>
  <si>
    <t>NordVPN</t>
  </si>
  <si>
    <t>Publicidad engañosa</t>
  </si>
  <si>
    <t>Panamá</t>
  </si>
  <si>
    <t>ExpressVPN</t>
  </si>
  <si>
    <t>Propiedad opaca</t>
  </si>
  <si>
    <t>I.Vírgenes</t>
  </si>
  <si>
    <t>Avast</t>
  </si>
  <si>
    <t>Venta datos usuario</t>
  </si>
  <si>
    <t>R.Checa</t>
  </si>
  <si>
    <t>Kaspersky</t>
  </si>
  <si>
    <t>Vínculos Rusia</t>
  </si>
  <si>
    <t>McAfee</t>
  </si>
  <si>
    <t>Bloatware</t>
  </si>
  <si>
    <t>Norton</t>
  </si>
  <si>
    <t>Minado crypto</t>
  </si>
  <si>
    <t>TeamViewer</t>
  </si>
  <si>
    <t>Estafas soporte</t>
  </si>
  <si>
    <t>AnyDesk</t>
  </si>
  <si>
    <t>Datos clientes</t>
  </si>
  <si>
    <t>SAP</t>
  </si>
  <si>
    <t>Complejidad</t>
  </si>
  <si>
    <t>Coste licencias</t>
  </si>
  <si>
    <t>HubSpot</t>
  </si>
  <si>
    <t>Spam marketing</t>
  </si>
  <si>
    <t>Shopify</t>
  </si>
  <si>
    <t>Dropshipping malo</t>
  </si>
  <si>
    <t>Wordpress</t>
  </si>
  <si>
    <t>Plugins inseguros</t>
  </si>
  <si>
    <t>Web</t>
  </si>
  <si>
    <t>Open Source</t>
  </si>
  <si>
    <t>Wix</t>
  </si>
  <si>
    <t>Bloqueo proveedor</t>
  </si>
  <si>
    <t>Squarespace</t>
  </si>
  <si>
    <t>Medium</t>
  </si>
  <si>
    <t>Blog</t>
  </si>
  <si>
    <t>Newsletter odio</t>
  </si>
  <si>
    <t>Patreon</t>
  </si>
  <si>
    <t>Contenido límite</t>
  </si>
  <si>
    <t>Mecenazgo</t>
  </si>
  <si>
    <t>Proyectos humo</t>
  </si>
  <si>
    <t>Indiegogo</t>
  </si>
  <si>
    <t>Estafas producto</t>
  </si>
  <si>
    <t>GoFundMe</t>
  </si>
  <si>
    <t>Estafas caridad</t>
  </si>
  <si>
    <t>Venta emails</t>
  </si>
  <si>
    <t>Activismo</t>
  </si>
  <si>
    <t>Eventbrite</t>
  </si>
  <si>
    <t>Eventos falsos</t>
  </si>
  <si>
    <t>Eventos</t>
  </si>
  <si>
    <t>Ticketmaster</t>
  </si>
  <si>
    <t>Precios abusivos</t>
  </si>
  <si>
    <t>LiveNation</t>
  </si>
  <si>
    <t>Monopolio</t>
  </si>
  <si>
    <t>StubHub</t>
  </si>
  <si>
    <t>Reventa especulativa</t>
  </si>
  <si>
    <t>OpenTable</t>
  </si>
  <si>
    <t>Reservas</t>
  </si>
  <si>
    <t>TheFork</t>
  </si>
  <si>
    <t>Precariedad laboral</t>
  </si>
  <si>
    <t>Delivery</t>
  </si>
  <si>
    <t>Just Eat</t>
  </si>
  <si>
    <t>Calidad comida</t>
  </si>
  <si>
    <t>Uber Eats</t>
  </si>
  <si>
    <t>Costes ocultos</t>
  </si>
  <si>
    <t>Deliveroo</t>
  </si>
  <si>
    <t>Rappi</t>
  </si>
  <si>
    <t>Colombia</t>
  </si>
  <si>
    <t>DoorDash</t>
  </si>
  <si>
    <t>Propina obligada</t>
  </si>
  <si>
    <t>Grubhub</t>
  </si>
  <si>
    <t>Restaurantes falsos</t>
  </si>
  <si>
    <t>Instacart</t>
  </si>
  <si>
    <t>Precios inflados</t>
  </si>
  <si>
    <t>TaskRabbit</t>
  </si>
  <si>
    <t>Seguridad hogar</t>
  </si>
  <si>
    <t>Servicios</t>
  </si>
  <si>
    <t>Fiverr</t>
  </si>
  <si>
    <t>Trabajo precario</t>
  </si>
  <si>
    <t>Freelance</t>
  </si>
  <si>
    <t>Upwork</t>
  </si>
  <si>
    <t>Estafas pago</t>
  </si>
  <si>
    <t>Freelancer</t>
  </si>
  <si>
    <t>Malt</t>
  </si>
  <si>
    <t>InfoJobs</t>
  </si>
  <si>
    <t>Ofertas falsas</t>
  </si>
  <si>
    <t>Empleo</t>
  </si>
  <si>
    <t>Indeed</t>
  </si>
  <si>
    <t>Robo currículums</t>
  </si>
  <si>
    <t>Glassdoor</t>
  </si>
  <si>
    <t>Reseñas falsas emp.</t>
  </si>
  <si>
    <t>Monster</t>
  </si>
  <si>
    <t>Spam email</t>
  </si>
  <si>
    <t>Xing</t>
  </si>
  <si>
    <t>ResearchGate</t>
  </si>
  <si>
    <t>Copyright papers</t>
  </si>
  <si>
    <t>Ciencia</t>
  </si>
  <si>
    <t>Academia.edu</t>
  </si>
  <si>
    <t>Paywall ciencia</t>
  </si>
  <si>
    <t>Moodle</t>
  </si>
  <si>
    <t>Blackboard</t>
  </si>
  <si>
    <t>Interfaz hostil</t>
  </si>
  <si>
    <t>Canvas</t>
  </si>
  <si>
    <t>Google Scholar</t>
  </si>
  <si>
    <t>Zotero</t>
  </si>
  <si>
    <t>Mendeley</t>
  </si>
  <si>
    <t>Bloqueo Elsevier</t>
  </si>
  <si>
    <t>Overleaf</t>
  </si>
  <si>
    <t>WolframAlpha</t>
  </si>
  <si>
    <t>GeoGebra</t>
  </si>
  <si>
    <t>Austria</t>
  </si>
  <si>
    <t>Desmos</t>
  </si>
  <si>
    <t>Scratch</t>
  </si>
  <si>
    <t>Chat no moderado</t>
  </si>
  <si>
    <t>Code.org</t>
  </si>
  <si>
    <t>Codecademy</t>
  </si>
  <si>
    <t>Pluralsight</t>
  </si>
  <si>
    <t>Domestika</t>
  </si>
  <si>
    <t>Calidad variable</t>
  </si>
  <si>
    <t>Crehana</t>
  </si>
  <si>
    <t>Perú</t>
  </si>
  <si>
    <t>Platzi</t>
  </si>
  <si>
    <t>MasterClass</t>
  </si>
  <si>
    <t>TED</t>
  </si>
  <si>
    <t>Vandalismo leve</t>
  </si>
  <si>
    <t>IMDb</t>
  </si>
  <si>
    <t>Spoilers</t>
  </si>
  <si>
    <t>Cine</t>
  </si>
  <si>
    <t>Rotten Tomatoes</t>
  </si>
  <si>
    <t>Review bombing</t>
  </si>
  <si>
    <t>Metacritic</t>
  </si>
  <si>
    <t>Fandom</t>
  </si>
  <si>
    <t>Publicidad abusiva</t>
  </si>
  <si>
    <t>Genius</t>
  </si>
  <si>
    <t>Copyright letras</t>
  </si>
  <si>
    <t>Discogs</t>
  </si>
  <si>
    <t>Bandcamp</t>
  </si>
  <si>
    <t>Last.fm</t>
  </si>
  <si>
    <t>9GAG</t>
  </si>
  <si>
    <t>Racismo/Sexismo</t>
  </si>
  <si>
    <t>Humor</t>
  </si>
  <si>
    <t>Hong Kong</t>
  </si>
  <si>
    <t>Imgur</t>
  </si>
  <si>
    <t>Contenido viral</t>
  </si>
  <si>
    <t>Giphy</t>
  </si>
  <si>
    <t>Tenor</t>
  </si>
  <si>
    <t>VLC</t>
  </si>
  <si>
    <t>WinRAR</t>
  </si>
  <si>
    <t>Shareware</t>
  </si>
  <si>
    <t>7-Zip</t>
  </si>
  <si>
    <t>OBS Studio</t>
  </si>
  <si>
    <t>Blender</t>
  </si>
  <si>
    <t>Curva aprendizaje</t>
  </si>
  <si>
    <t>Unity</t>
  </si>
  <si>
    <t>Costes runtime</t>
  </si>
  <si>
    <t>Unreal Engine</t>
  </si>
  <si>
    <t>Godot</t>
  </si>
  <si>
    <t>Argentina</t>
  </si>
  <si>
    <t>Arduino</t>
  </si>
  <si>
    <t>Italia</t>
  </si>
  <si>
    <t>SUM de Impacto Breve</t>
  </si>
  <si>
    <t>SUM de Usuarios (M)</t>
  </si>
  <si>
    <t xml:space="preserve">Tabla Dinamica de Matriz </t>
  </si>
  <si>
    <t>AVERAGE de Uso Diario (min)</t>
  </si>
  <si>
    <t>AVERAGE de Riesgo (1-10)</t>
  </si>
  <si>
    <t>Agrupado: Año</t>
  </si>
  <si>
    <t>COUNTA de Hito Tecnológico</t>
  </si>
  <si>
    <t>0 - 2000</t>
  </si>
  <si>
    <t>&gt; 2000</t>
  </si>
  <si>
    <t>Suma total</t>
  </si>
  <si>
    <t>1610 - 1619</t>
  </si>
  <si>
    <t>1620 - 1629</t>
  </si>
  <si>
    <t>1640 - 1649</t>
  </si>
  <si>
    <t>1670 - 1679</t>
  </si>
  <si>
    <t>1800 - 1809</t>
  </si>
  <si>
    <t>1820 - 1829</t>
  </si>
  <si>
    <t>1830 - 1839</t>
  </si>
  <si>
    <t>1840 - 1849</t>
  </si>
  <si>
    <t>1850 - 1859</t>
  </si>
  <si>
    <t>1870 - 1879</t>
  </si>
  <si>
    <t>1890 - 1899</t>
  </si>
  <si>
    <t>1900 - 1909</t>
  </si>
  <si>
    <t>1930 - 1939</t>
  </si>
  <si>
    <t>1940 - 1949</t>
  </si>
  <si>
    <t>1950 - 1959</t>
  </si>
  <si>
    <t>1960 - 1969</t>
  </si>
  <si>
    <t>1970 - 1979</t>
  </si>
  <si>
    <t>1980 - 1989</t>
  </si>
  <si>
    <t>1990 - 1999</t>
  </si>
  <si>
    <t>2000 - 2009</t>
  </si>
  <si>
    <t>2010 - 2019</t>
  </si>
  <si>
    <t>2020 - 2029</t>
  </si>
  <si>
    <t xml:space="preserve">Este filtro solo modifica los datos de evolución.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</si>
</sst>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4">
    <font>
      <sz val="10.0"/>
      <color rgb="FF000000"/>
      <name val="Arial"/>
      <scheme val="minor"/>
    </font>
    <font>
      <b/>
      <sz val="16.0"/>
      <color theme="1"/>
      <name val="Montserrat"/>
    </font>
    <font>
      <b/>
      <color theme="1"/>
      <name val="Montserrat"/>
    </font>
    <font/>
    <font>
      <color theme="1"/>
      <name val="Montserrat"/>
    </font>
    <font>
      <b/>
      <sz val="10.0"/>
      <color theme="1"/>
      <name val="Montserrat"/>
    </font>
    <font>
      <sz val="10.0"/>
      <color theme="1"/>
      <name val="Arial"/>
      <scheme val="minor"/>
    </font>
    <font>
      <sz val="10.0"/>
      <color theme="1"/>
      <name val="Montserrat"/>
    </font>
    <font>
      <u/>
      <color rgb="FF0000FF"/>
      <name val="Montserrat"/>
    </font>
    <font>
      <u/>
      <color rgb="FF0000FF"/>
      <name val="Montserrat"/>
    </font>
    <font>
      <color theme="1"/>
      <name val="Arial"/>
      <scheme val="minor"/>
    </font>
    <font>
      <u/>
      <sz val="10.0"/>
      <color rgb="FF0000FF"/>
      <name val="Montserrat"/>
    </font>
    <font>
      <b/>
      <color rgb="FFFFFFFF"/>
      <name val="Arial"/>
      <scheme val="minor"/>
    </font>
    <font>
      <u/>
      <color rgb="FF0000FF"/>
    </font>
  </fonts>
  <fills count="4">
    <fill>
      <patternFill patternType="none"/>
    </fill>
    <fill>
      <patternFill patternType="lightGray"/>
    </fill>
    <fill>
      <patternFill patternType="solid">
        <fgColor rgb="FFA2C4C9"/>
        <bgColor rgb="FFA2C4C9"/>
      </patternFill>
    </fill>
    <fill>
      <patternFill patternType="solid">
        <fgColor rgb="FFE0ECEF"/>
        <bgColor rgb="FFE0ECEF"/>
      </patternFill>
    </fill>
  </fills>
  <borders count="24">
    <border/>
    <border>
      <left style="thick">
        <color rgb="FF000000"/>
      </left>
      <top style="thick">
        <color rgb="FF000000"/>
      </top>
      <bottom style="double">
        <color rgb="FF000000"/>
      </bottom>
    </border>
    <border>
      <top style="thick">
        <color rgb="FF000000"/>
      </top>
      <bottom style="double">
        <color rgb="FF000000"/>
      </bottom>
    </border>
    <border>
      <right style="thick">
        <color rgb="FF000000"/>
      </right>
      <top style="thick">
        <color rgb="FF000000"/>
      </top>
      <bottom style="double">
        <color rgb="FF000000"/>
      </bottom>
    </border>
    <border>
      <left style="thick">
        <color rgb="FF000000"/>
      </left>
      <top style="double">
        <color rgb="FF000000"/>
      </top>
    </border>
    <border>
      <top style="double">
        <color rgb="FF000000"/>
      </top>
    </border>
    <border>
      <right style="thick">
        <color rgb="FF000000"/>
      </right>
      <top style="double">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double">
        <color rgb="FF000000"/>
      </top>
      <bottom style="thick">
        <color rgb="FF000000"/>
      </bottom>
    </border>
    <border>
      <top style="double">
        <color rgb="FF000000"/>
      </top>
      <bottom style="thick">
        <color rgb="FF000000"/>
      </bottom>
    </border>
    <border>
      <right style="thick">
        <color rgb="FF000000"/>
      </right>
      <top style="double">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1" fillId="2" fontId="2" numFmtId="0" xfId="0" applyAlignment="1" applyBorder="1" applyFill="1" applyFont="1">
      <alignment horizontal="left" readingOrder="0"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left" readingOrder="0" shrinkToFit="0" vertical="center" wrapText="1"/>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7" fillId="3" fontId="2" numFmtId="0" xfId="0" applyAlignment="1" applyBorder="1" applyFont="1">
      <alignment horizontal="right" readingOrder="0" shrinkToFit="0" vertical="center" wrapText="1"/>
    </xf>
    <xf borderId="12" fillId="3" fontId="2" numFmtId="0" xfId="0" applyAlignment="1" applyBorder="1" applyFont="1">
      <alignment horizontal="right" readingOrder="0" shrinkToFit="0" vertical="center" wrapText="1"/>
    </xf>
    <xf borderId="13" fillId="0" fontId="3" numFmtId="0" xfId="0" applyBorder="1" applyFont="1"/>
    <xf borderId="14" fillId="0" fontId="3" numFmtId="0" xfId="0" applyBorder="1" applyFont="1"/>
    <xf borderId="0" fillId="0" fontId="4" numFmtId="0" xfId="0" applyFont="1"/>
    <xf borderId="15" fillId="0" fontId="5" numFmtId="0" xfId="0" applyAlignment="1" applyBorder="1" applyFont="1">
      <alignment readingOrder="0"/>
    </xf>
    <xf borderId="16" fillId="0" fontId="5" numFmtId="0" xfId="0" applyAlignment="1" applyBorder="1" applyFont="1">
      <alignment readingOrder="0"/>
    </xf>
    <xf borderId="17" fillId="0" fontId="5" numFmtId="0" xfId="0" applyAlignment="1" applyBorder="1" applyFont="1">
      <alignment readingOrder="0"/>
    </xf>
    <xf borderId="0" fillId="0" fontId="6" numFmtId="0" xfId="0" applyFont="1"/>
    <xf borderId="7" fillId="0" fontId="7" numFmtId="0" xfId="0" applyAlignment="1" applyBorder="1" applyFont="1">
      <alignment horizontal="center" readingOrder="0"/>
    </xf>
    <xf borderId="0" fillId="0" fontId="7" numFmtId="0" xfId="0" applyAlignment="1" applyFont="1">
      <alignment readingOrder="0"/>
    </xf>
    <xf borderId="0" fillId="0" fontId="7" numFmtId="0" xfId="0" applyAlignment="1" applyFont="1">
      <alignment horizontal="center" readingOrder="0"/>
    </xf>
    <xf borderId="8" fillId="0" fontId="7" numFmtId="0" xfId="0" applyAlignment="1" applyBorder="1" applyFont="1">
      <alignment horizontal="center" readingOrder="0"/>
    </xf>
    <xf borderId="9" fillId="0" fontId="7" numFmtId="0" xfId="0" applyAlignment="1" applyBorder="1" applyFont="1">
      <alignment horizontal="center" readingOrder="0"/>
    </xf>
    <xf borderId="10" fillId="0" fontId="7" numFmtId="0" xfId="0" applyAlignment="1" applyBorder="1" applyFont="1">
      <alignment readingOrder="0"/>
    </xf>
    <xf borderId="10" fillId="0" fontId="7" numFmtId="0" xfId="0" applyAlignment="1" applyBorder="1" applyFont="1">
      <alignment horizontal="center" readingOrder="0"/>
    </xf>
    <xf borderId="11" fillId="0" fontId="7" numFmtId="0" xfId="0" applyAlignment="1" applyBorder="1" applyFont="1">
      <alignment horizontal="center" readingOrder="0"/>
    </xf>
    <xf borderId="15" fillId="0" fontId="2" numFmtId="0" xfId="0" applyAlignment="1" applyBorder="1" applyFont="1">
      <alignment horizontal="center" readingOrder="0"/>
    </xf>
    <xf borderId="16" fillId="0" fontId="2" numFmtId="0" xfId="0" applyAlignment="1" applyBorder="1" applyFont="1">
      <alignment readingOrder="0"/>
    </xf>
    <xf borderId="16" fillId="0" fontId="2" numFmtId="0" xfId="0" applyAlignment="1" applyBorder="1" applyFont="1">
      <alignment horizontal="center" readingOrder="0"/>
    </xf>
    <xf borderId="17" fillId="0" fontId="2" numFmtId="0" xfId="0" applyAlignment="1" applyBorder="1" applyFont="1">
      <alignment readingOrder="0"/>
    </xf>
    <xf borderId="7" fillId="0" fontId="4" numFmtId="0" xfId="0" applyAlignment="1" applyBorder="1" applyFont="1">
      <alignment horizontal="center" readingOrder="0"/>
    </xf>
    <xf borderId="0" fillId="0" fontId="4" numFmtId="0" xfId="0" applyAlignment="1" applyFont="1">
      <alignment readingOrder="0"/>
    </xf>
    <xf borderId="0" fillId="0" fontId="4" numFmtId="0" xfId="0" applyAlignment="1" applyFont="1">
      <alignment horizontal="center" readingOrder="0"/>
    </xf>
    <xf borderId="8" fillId="0" fontId="4" numFmtId="0" xfId="0" applyAlignment="1" applyBorder="1" applyFont="1">
      <alignment readingOrder="0"/>
    </xf>
    <xf borderId="0" fillId="0" fontId="8" numFmtId="0" xfId="0" applyAlignment="1" applyFont="1">
      <alignment readingOrder="0"/>
    </xf>
    <xf borderId="8" fillId="0" fontId="9" numFmtId="0" xfId="0" applyAlignment="1" applyBorder="1" applyFont="1">
      <alignment readingOrder="0"/>
    </xf>
    <xf borderId="9" fillId="0" fontId="4" numFmtId="0" xfId="0" applyAlignment="1" applyBorder="1" applyFont="1">
      <alignment horizontal="center" readingOrder="0"/>
    </xf>
    <xf borderId="10" fillId="0" fontId="4" numFmtId="0" xfId="0" applyAlignment="1" applyBorder="1" applyFont="1">
      <alignment readingOrder="0"/>
    </xf>
    <xf borderId="10" fillId="0" fontId="4" numFmtId="0" xfId="0" applyAlignment="1" applyBorder="1" applyFont="1">
      <alignment horizontal="center" readingOrder="0"/>
    </xf>
    <xf borderId="11" fillId="0" fontId="4" numFmtId="0" xfId="0" applyAlignment="1" applyBorder="1" applyFont="1">
      <alignment readingOrder="0"/>
    </xf>
    <xf borderId="0" fillId="0" fontId="10" numFmtId="0" xfId="0" applyAlignment="1" applyFont="1">
      <alignment horizontal="center"/>
    </xf>
    <xf borderId="0" fillId="0" fontId="5" numFmtId="0" xfId="0" applyAlignment="1" applyFont="1">
      <alignment readingOrder="0"/>
    </xf>
    <xf borderId="0" fillId="0" fontId="5" numFmtId="0" xfId="0" applyAlignment="1" applyFont="1">
      <alignment horizontal="center" readingOrder="0"/>
    </xf>
    <xf borderId="0" fillId="0" fontId="7" numFmtId="0" xfId="0" applyAlignment="1" applyFont="1">
      <alignment horizontal="center" readingOrder="0"/>
    </xf>
    <xf borderId="0" fillId="0" fontId="11" numFmtId="0" xfId="0" applyAlignment="1" applyFont="1">
      <alignment readingOrder="0"/>
    </xf>
    <xf borderId="0" fillId="0" fontId="2" numFmtId="0" xfId="0" applyAlignment="1" applyFont="1">
      <alignment horizontal="center" readingOrder="0"/>
    </xf>
    <xf borderId="0" fillId="0" fontId="4" numFmtId="164" xfId="0" applyFont="1" applyNumberFormat="1"/>
    <xf borderId="0" fillId="0" fontId="4" numFmtId="0" xfId="0" applyAlignment="1" applyFont="1">
      <alignment horizontal="center"/>
    </xf>
    <xf borderId="18" fillId="0" fontId="12" numFmtId="0" xfId="0" applyAlignment="1" applyBorder="1" applyFont="1">
      <alignment horizontal="center" readingOrder="0"/>
    </xf>
    <xf borderId="19" fillId="0" fontId="12" numFmtId="0" xfId="0" applyAlignment="1" applyBorder="1" applyFont="1">
      <alignment horizontal="center" readingOrder="0"/>
    </xf>
    <xf borderId="20" fillId="0" fontId="12" numFmtId="0" xfId="0" applyAlignment="1" applyBorder="1" applyFont="1">
      <alignment horizontal="center" readingOrder="0"/>
    </xf>
    <xf borderId="21" fillId="0" fontId="10" numFmtId="0" xfId="0" applyAlignment="1" applyBorder="1" applyFont="1">
      <alignment readingOrder="0"/>
    </xf>
    <xf borderId="22" fillId="0" fontId="10" numFmtId="0" xfId="0" applyAlignment="1" applyBorder="1" applyFont="1">
      <alignment readingOrder="0"/>
    </xf>
    <xf borderId="23" fillId="0" fontId="10" numFmtId="0" xfId="0" applyAlignment="1" applyBorder="1" applyFont="1">
      <alignment readingOrder="0"/>
    </xf>
    <xf borderId="21" fillId="0" fontId="13" numFmtId="0" xfId="0" applyAlignment="1" applyBorder="1" applyFont="1">
      <alignment readingOrder="0"/>
    </xf>
    <xf borderId="0" fillId="0" fontId="10" numFmtId="0" xfId="0" applyAlignment="1" applyFont="1">
      <alignment readingOrder="0"/>
    </xf>
    <xf borderId="0" fillId="0" fontId="10" numFmtId="2" xfId="0" applyAlignment="1" applyFont="1" applyNumberFormat="1">
      <alignment readingOrder="0"/>
    </xf>
    <xf borderId="0" fillId="0" fontId="10" numFmtId="0" xfId="0" applyFont="1"/>
    <xf borderId="0" fillId="0" fontId="10" numFmtId="2" xfId="0" applyFont="1" applyNumberFormat="1"/>
    <xf borderId="0" fillId="0" fontId="10" numFmtId="10" xfId="0" applyFont="1" applyNumberFormat="1"/>
    <xf borderId="0" fillId="0" fontId="4" numFmtId="0" xfId="0" applyAlignment="1" applyFont="1">
      <alignment readingOrder="0"/>
    </xf>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atos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microsoft.com/office/2007/relationships/slicerCache" Target="slicerCaches/slicerCache2.xml"/><Relationship Id="rId11" Type="http://schemas.openxmlformats.org/officeDocument/2006/relationships/worksheet" Target="worksheets/sheet7.xml"/><Relationship Id="rId22" Type="http://schemas.microsoft.com/office/2007/relationships/slicerCache" Target="slicerCaches/slicerCache4.xml"/><Relationship Id="rId10" Type="http://schemas.openxmlformats.org/officeDocument/2006/relationships/worksheet" Target="worksheets/sheet6.xml"/><Relationship Id="rId21" Type="http://schemas.microsoft.com/office/2007/relationships/slicerCache" Target="slicerCaches/slicerCache3.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7" Type="http://schemas.openxmlformats.org/officeDocument/2006/relationships/pivotCacheDefinition" Target="pivotCache/pivotCacheDefinition4.xml"/><Relationship Id="rId16" Type="http://schemas.openxmlformats.org/officeDocument/2006/relationships/pivotCacheDefinition" Target="pivotCache/pivotCacheDefinition3.xml"/><Relationship Id="rId5" Type="http://schemas.openxmlformats.org/officeDocument/2006/relationships/worksheet" Target="worksheets/sheet1.xml"/><Relationship Id="rId19" Type="http://schemas.microsoft.com/office/2007/relationships/slicerCache" Target="slicerCaches/slicerCache1.xml"/><Relationship Id="rId6" Type="http://schemas.openxmlformats.org/officeDocument/2006/relationships/worksheet" Target="worksheets/sheet2.xml"/><Relationship Id="rId18" Type="http://schemas.openxmlformats.org/officeDocument/2006/relationships/pivotCacheDefinition" Target="pivotCache/pivotCacheDefinition5.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La Aceleración Tecnológica: De la Radio a la IA</a:t>
            </a:r>
          </a:p>
        </c:rich>
      </c:tx>
      <c:overlay val="0"/>
    </c:title>
    <c:plotArea>
      <c:layout/>
      <c:areaChart>
        <c:ser>
          <c:idx val="0"/>
          <c:order val="0"/>
          <c:tx>
            <c:strRef>
              <c:f>'Tablas Dinámicas'!$F$24</c:f>
            </c:strRef>
          </c:tx>
          <c:spPr>
            <a:solidFill>
              <a:srgbClr val="4285F4">
                <a:alpha val="30000"/>
              </a:srgbClr>
            </a:solidFill>
            <a:ln cmpd="sng">
              <a:solidFill>
                <a:srgbClr val="4285F4"/>
              </a:solidFill>
            </a:ln>
          </c:spPr>
          <c:cat>
            <c:strRef>
              <c:f>'Tablas Dinámicas'!$E$25:$E$46</c:f>
            </c:strRef>
          </c:cat>
          <c:val>
            <c:numRef>
              <c:f>'Tablas Dinámicas'!$F$25:$F$46</c:f>
              <c:numCache/>
            </c:numRef>
          </c:val>
        </c:ser>
        <c:axId val="101078765"/>
        <c:axId val="1307280520"/>
      </c:areaChart>
      <c:catAx>
        <c:axId val="1010787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Agrupado: Año</a:t>
                </a:r>
              </a:p>
            </c:rich>
          </c:tx>
          <c:overlay val="0"/>
        </c:title>
        <c:numFmt formatCode="General" sourceLinked="1"/>
        <c:majorTickMark val="none"/>
        <c:minorTickMark val="none"/>
        <c:spPr/>
        <c:txPr>
          <a:bodyPr/>
          <a:lstStyle/>
          <a:p>
            <a:pPr lvl="0">
              <a:defRPr b="0">
                <a:solidFill>
                  <a:srgbClr val="000000"/>
                </a:solidFill>
                <a:latin typeface="+mn-lt"/>
              </a:defRPr>
            </a:pPr>
          </a:p>
        </c:txPr>
        <c:crossAx val="1307280520"/>
      </c:catAx>
      <c:valAx>
        <c:axId val="13072805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de Hito Tecnológico</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07876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image3.png"/><Relationship Id="rId7"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image3.png"/><Relationship Id="rId6"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Chart10.png"/><Relationship Id="rId2" Type="http://schemas.openxmlformats.org/officeDocument/2006/relationships/image" Target="../media/Chart11.png"/><Relationship Id="rId3" Type="http://schemas.openxmlformats.org/officeDocument/2006/relationships/image" Target="../media/Chart12.png"/><Relationship Id="rId4" Type="http://schemas.openxmlformats.org/officeDocument/2006/relationships/chart" Target="../charts/chart1.xml"/><Relationship Id="rId5" Type="http://schemas.openxmlformats.org/officeDocument/2006/relationships/image" Target="../media/Chart14.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1247775" cy="12477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419100</xdr:colOff>
      <xdr:row>12</xdr:row>
      <xdr:rowOff>66675</xdr:rowOff>
    </xdr:from>
    <xdr:ext cx="8963025" cy="4038600"/>
    <xdr:pic>
      <xdr:nvPicPr>
        <xdr:cNvPr descr="sdfsdfsdf&#10;"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114300</xdr:colOff>
      <xdr:row>1</xdr:row>
      <xdr:rowOff>142875</xdr:rowOff>
    </xdr:from>
    <xdr:ext cx="4105275" cy="18383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6</xdr:row>
      <xdr:rowOff>47625</xdr:rowOff>
    </xdr:from>
    <xdr:ext cx="2352675" cy="942975"/>
    <xdr:pic>
      <xdr:nvPicPr>
        <xdr:cNvPr id="569026393"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581025</xdr:colOff>
      <xdr:row>13</xdr:row>
      <xdr:rowOff>142875</xdr:rowOff>
    </xdr:from>
    <xdr:ext cx="2524125" cy="942975"/>
    <xdr:pic>
      <xdr:nvPicPr>
        <xdr:cNvPr id="1342195792"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523875</xdr:colOff>
      <xdr:row>13</xdr:row>
      <xdr:rowOff>152400</xdr:rowOff>
    </xdr:from>
    <xdr:ext cx="2752725" cy="552450"/>
    <xdr:pic>
      <xdr:nvPicPr>
        <xdr:cNvPr id="1523777041"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762000</xdr:colOff>
      <xdr:row>21</xdr:row>
      <xdr:rowOff>76200</xdr:rowOff>
    </xdr:from>
    <xdr:ext cx="2171700" cy="866775"/>
    <xdr:pic>
      <xdr:nvPicPr>
        <xdr:cNvPr id="354284033"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904875</xdr:colOff>
      <xdr:row>6</xdr:row>
      <xdr:rowOff>95250</xdr:rowOff>
    </xdr:from>
    <xdr:ext cx="5715000" cy="3533775"/>
    <xdr:pic>
      <xdr:nvPicPr>
        <xdr:cNvPr id="8493428"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28575</xdr:colOff>
      <xdr:row>26</xdr:row>
      <xdr:rowOff>161925</xdr:rowOff>
    </xdr:from>
    <xdr:ext cx="2857500" cy="2857500"/>
    <mc:AlternateContent>
      <mc:Choice Requires="sle15">
        <xdr:graphicFrame>
          <xdr:nvGraphicFramePr>
            <xdr:cNvPr id="1" name="Categoría_1"/>
            <xdr:cNvGraphicFramePr/>
          </xdr:nvGraphicFramePr>
          <xdr:xfrm>
            <a:off x="0" y="0"/>
            <a:ext cx="0" cy="0"/>
          </xdr:xfrm>
          <a:graphic>
            <a:graphicData uri="http://schemas.microsoft.com/office/drawing/2010/slicer">
              <x3Unk:slicer name="Categorí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466725</xdr:colOff>
      <xdr:row>5</xdr:row>
      <xdr:rowOff>104775</xdr:rowOff>
    </xdr:from>
    <xdr:ext cx="2752725" cy="1238250"/>
    <xdr:pic>
      <xdr:nvPicPr>
        <xdr:cNvPr id="0" name="image3.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323850</xdr:colOff>
      <xdr:row>4</xdr:row>
      <xdr:rowOff>142875</xdr:rowOff>
    </xdr:from>
    <xdr:ext cx="552450" cy="552450"/>
    <xdr:pic>
      <xdr:nvPicPr>
        <xdr:cNvPr id="0" name="image2.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466725</xdr:colOff>
      <xdr:row>12</xdr:row>
      <xdr:rowOff>190500</xdr:rowOff>
    </xdr:from>
    <xdr:ext cx="2752725" cy="1238250"/>
    <xdr:pic>
      <xdr:nvPicPr>
        <xdr:cNvPr id="0" name="image3.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466725</xdr:colOff>
      <xdr:row>20</xdr:row>
      <xdr:rowOff>95250</xdr:rowOff>
    </xdr:from>
    <xdr:ext cx="2752725" cy="1238250"/>
    <xdr:pic>
      <xdr:nvPicPr>
        <xdr:cNvPr id="0" name="image3.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466725</xdr:colOff>
      <xdr:row>28</xdr:row>
      <xdr:rowOff>142875</xdr:rowOff>
    </xdr:from>
    <xdr:ext cx="2752725" cy="1238250"/>
    <xdr:pic>
      <xdr:nvPicPr>
        <xdr:cNvPr id="0" name="image3.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6</xdr:row>
      <xdr:rowOff>47625</xdr:rowOff>
    </xdr:from>
    <xdr:ext cx="2352675" cy="942975"/>
    <xdr:pic>
      <xdr:nvPicPr>
        <xdr:cNvPr id="2077199724" name="Chart6"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581025</xdr:colOff>
      <xdr:row>13</xdr:row>
      <xdr:rowOff>142875</xdr:rowOff>
    </xdr:from>
    <xdr:ext cx="2524125" cy="942975"/>
    <xdr:pic>
      <xdr:nvPicPr>
        <xdr:cNvPr id="269919761" name="Chart7"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523875</xdr:colOff>
      <xdr:row>13</xdr:row>
      <xdr:rowOff>152400</xdr:rowOff>
    </xdr:from>
    <xdr:ext cx="2752725" cy="552450"/>
    <xdr:pic>
      <xdr:nvPicPr>
        <xdr:cNvPr id="258885631" name="Chart8"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762000</xdr:colOff>
      <xdr:row>21</xdr:row>
      <xdr:rowOff>76200</xdr:rowOff>
    </xdr:from>
    <xdr:ext cx="2171700" cy="866775"/>
    <xdr:pic>
      <xdr:nvPicPr>
        <xdr:cNvPr id="1176842756" name="Chart9"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333375</xdr:colOff>
      <xdr:row>1</xdr:row>
      <xdr:rowOff>19050</xdr:rowOff>
    </xdr:from>
    <xdr:ext cx="2857500" cy="2857500"/>
    <mc:AlternateContent>
      <mc:Choice Requires="sle15">
        <xdr:graphicFrame>
          <xdr:nvGraphicFramePr>
            <xdr:cNvPr id="2" name="Etapa_2"/>
            <xdr:cNvGraphicFramePr/>
          </xdr:nvGraphicFramePr>
          <xdr:xfrm>
            <a:off x="0" y="0"/>
            <a:ext cx="0" cy="0"/>
          </xdr:xfrm>
          <a:graphic>
            <a:graphicData uri="http://schemas.microsoft.com/office/drawing/2010/slicer">
              <x3Unk:slicer name="Etapa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95250</xdr:colOff>
      <xdr:row>1</xdr:row>
      <xdr:rowOff>19050</xdr:rowOff>
    </xdr:from>
    <xdr:ext cx="2857500" cy="2857500"/>
    <mc:AlternateContent>
      <mc:Choice Requires="sle15">
        <xdr:graphicFrame>
          <xdr:nvGraphicFramePr>
            <xdr:cNvPr id="3" name="Column1_3"/>
            <xdr:cNvGraphicFramePr/>
          </xdr:nvGraphicFramePr>
          <xdr:xfrm>
            <a:off x="0" y="0"/>
            <a:ext cx="0" cy="0"/>
          </xdr:xfrm>
          <a:graphic>
            <a:graphicData uri="http://schemas.microsoft.com/office/drawing/2010/slicer">
              <x3Unk:slicer name="Column1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657225</xdr:colOff>
      <xdr:row>1</xdr:row>
      <xdr:rowOff>19050</xdr:rowOff>
    </xdr:from>
    <xdr:ext cx="2857500" cy="2857500"/>
    <mc:AlternateContent>
      <mc:Choice Requires="sle15">
        <xdr:graphicFrame>
          <xdr:nvGraphicFramePr>
            <xdr:cNvPr id="4" name="Categoría_4"/>
            <xdr:cNvGraphicFramePr/>
          </xdr:nvGraphicFramePr>
          <xdr:xfrm>
            <a:off x="0" y="0"/>
            <a:ext cx="0" cy="0"/>
          </xdr:xfrm>
          <a:graphic>
            <a:graphicData uri="http://schemas.microsoft.com/office/drawing/2010/slicer">
              <x3Unk:slicer name="Categoría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13</xdr:col>
      <xdr:colOff>476250</xdr:colOff>
      <xdr:row>1</xdr:row>
      <xdr:rowOff>19050</xdr:rowOff>
    </xdr:from>
    <xdr:ext cx="2857500" cy="2857500"/>
    <mc:AlternateContent>
      <mc:Choice Requires="sle15">
        <xdr:graphicFrame>
          <xdr:nvGraphicFramePr>
            <xdr:cNvPr id="5" name="Column1_5"/>
            <xdr:cNvGraphicFramePr/>
          </xdr:nvGraphicFramePr>
          <xdr:xfrm>
            <a:off x="0" y="0"/>
            <a:ext cx="0" cy="0"/>
          </xdr:xfrm>
          <a:graphic>
            <a:graphicData uri="http://schemas.microsoft.com/office/drawing/2010/slicer">
              <x3Unk:slicer name="Column1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16</xdr:col>
      <xdr:colOff>723900</xdr:colOff>
      <xdr:row>1</xdr:row>
      <xdr:rowOff>19050</xdr:rowOff>
    </xdr:from>
    <xdr:ext cx="2857500" cy="2857500"/>
    <mc:AlternateContent>
      <mc:Choice Requires="sle15">
        <xdr:graphicFrame>
          <xdr:nvGraphicFramePr>
            <xdr:cNvPr id="6" name="Column1_6"/>
            <xdr:cNvGraphicFramePr/>
          </xdr:nvGraphicFramePr>
          <xdr:xfrm>
            <a:off x="0" y="0"/>
            <a:ext cx="0" cy="0"/>
          </xdr:xfrm>
          <a:graphic>
            <a:graphicData uri="http://schemas.microsoft.com/office/drawing/2010/slicer">
              <x3Unk:slicer name="Column1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466725</xdr:colOff>
      <xdr:row>5</xdr:row>
      <xdr:rowOff>104775</xdr:rowOff>
    </xdr:from>
    <xdr:ext cx="2752725" cy="123825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323850</xdr:colOff>
      <xdr:row>4</xdr:row>
      <xdr:rowOff>142875</xdr:rowOff>
    </xdr:from>
    <xdr:ext cx="552450" cy="552450"/>
    <xdr:pic>
      <xdr:nvPicPr>
        <xdr:cNvPr id="0" name="image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466725</xdr:colOff>
      <xdr:row>12</xdr:row>
      <xdr:rowOff>190500</xdr:rowOff>
    </xdr:from>
    <xdr:ext cx="2752725" cy="123825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466725</xdr:colOff>
      <xdr:row>20</xdr:row>
      <xdr:rowOff>95250</xdr:rowOff>
    </xdr:from>
    <xdr:ext cx="2752725" cy="123825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466725</xdr:colOff>
      <xdr:row>28</xdr:row>
      <xdr:rowOff>142875</xdr:rowOff>
    </xdr:from>
    <xdr:ext cx="2752725" cy="1238250"/>
    <xdr:pic>
      <xdr:nvPicPr>
        <xdr:cNvPr id="0" name="image3.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5</xdr:row>
      <xdr:rowOff>123825</xdr:rowOff>
    </xdr:from>
    <xdr:ext cx="1685925" cy="1076325"/>
    <xdr:pic>
      <xdr:nvPicPr>
        <xdr:cNvPr id="1602524007" name="Chart10"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5</xdr:row>
      <xdr:rowOff>123825</xdr:rowOff>
    </xdr:from>
    <xdr:ext cx="1371600" cy="885825"/>
    <xdr:pic>
      <xdr:nvPicPr>
        <xdr:cNvPr id="608564423" name="Chart11"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5</xdr:row>
      <xdr:rowOff>47625</xdr:rowOff>
    </xdr:from>
    <xdr:ext cx="1438275" cy="885825"/>
    <xdr:pic>
      <xdr:nvPicPr>
        <xdr:cNvPr id="775876598" name="Chart12"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419100</xdr:colOff>
      <xdr:row>19</xdr:row>
      <xdr:rowOff>47625</xdr:rowOff>
    </xdr:from>
    <xdr:ext cx="5715000" cy="3533775"/>
    <xdr:graphicFrame>
      <xdr:nvGraphicFramePr>
        <xdr:cNvPr id="13" name="Chart 13"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114300</xdr:colOff>
      <xdr:row>162</xdr:row>
      <xdr:rowOff>95250</xdr:rowOff>
    </xdr:from>
    <xdr:ext cx="1266825" cy="790575"/>
    <xdr:pic>
      <xdr:nvPicPr>
        <xdr:cNvPr id="2111603450" name="Chart14"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552450</xdr:colOff>
      <xdr:row>161</xdr:row>
      <xdr:rowOff>133350</xdr:rowOff>
    </xdr:from>
    <xdr:ext cx="2476500" cy="1114425"/>
    <xdr:pic>
      <xdr:nvPicPr>
        <xdr:cNvPr id="0" name="image3.png" title="Imagen"/>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9" sheet="1 - Pioneros"/>
  </cacheSource>
  <cacheFields>
    <cacheField name="Año" numFmtId="0">
      <sharedItems containsSemiMixedTypes="0" containsString="0" containsNumber="1" containsInteger="1">
        <n v="1614.0"/>
        <n v="1623.0"/>
        <n v="1642.0"/>
        <n v="1673.0"/>
        <n v="1801.0"/>
        <n v="1820.0"/>
        <n v="1822.0"/>
        <n v="1837.0"/>
        <n v="1843.0"/>
        <n v="1844.0"/>
        <n v="1854.0"/>
        <n v="1876.0"/>
        <n v="1890.0"/>
        <n v="1896.0"/>
        <n v="1904.0"/>
        <n v="1936.0"/>
        <n v="1937.0"/>
        <n v="1938.0"/>
        <n v="1941.0"/>
        <n v="1942.0"/>
        <n v="1943.0"/>
        <n v="1944.0"/>
        <n v="1945.0"/>
        <n v="1947.0"/>
        <n v="1948.0"/>
        <n v="1949.0"/>
        <n v="1950.0"/>
        <n v="1951.0"/>
        <n v="1952.0"/>
        <n v="1953.0"/>
        <n v="1954.0"/>
        <n v="1956.0"/>
        <n v="1957.0"/>
        <n v="1958.0"/>
        <n v="1959.0"/>
        <n v="1960.0"/>
        <n v="1961.0"/>
        <n v="1962.0"/>
        <n v="1963.0"/>
        <n v="1964.0"/>
        <n v="1965.0"/>
        <n v="1966.0"/>
        <n v="1968.0"/>
        <n v="1969.0"/>
        <n v="1970.0"/>
        <n v="1971.0"/>
        <n v="1972.0"/>
        <n v="1973.0"/>
        <n v="1974.0"/>
        <n v="1975.0"/>
        <n v="1976.0"/>
        <n v="1977.0"/>
        <n v="1978.0"/>
        <n v="1979.0"/>
        <n v="1980.0"/>
        <n v="1981.0"/>
        <n v="1982.0"/>
        <n v="1983.0"/>
        <n v="1984.0"/>
        <n v="1985.0"/>
        <n v="1986.0"/>
        <n v="1987.0"/>
        <n v="1989.0"/>
        <n v="1990.0"/>
        <n v="1991.0"/>
        <n v="1992.0"/>
        <n v="1993.0"/>
        <n v="1994.0"/>
        <n v="1995.0"/>
        <n v="1996.0"/>
        <n v="1997.0"/>
        <n v="1998.0"/>
        <n v="1999.0"/>
        <n v="2000.0"/>
        <n v="2001.0"/>
        <n v="2003.0"/>
        <n v="2004.0"/>
        <n v="2005.0"/>
        <n v="2006.0"/>
        <n v="2007.0"/>
        <n v="2008.0"/>
        <n v="2009.0"/>
        <n v="2010.0"/>
        <n v="2011.0"/>
        <n v="2012.0"/>
        <n v="2013.0"/>
        <n v="2014.0"/>
        <n v="2015.0"/>
        <n v="2016.0"/>
        <n v="2017.0"/>
        <n v="2018.0"/>
        <n v="2019.0"/>
        <n v="2020.0"/>
        <n v="2021.0"/>
        <n v="2022.0"/>
        <n v="2023.0"/>
        <n v="2024.0"/>
        <n v="2025.0"/>
      </sharedItems>
    </cacheField>
    <cacheField name="Hito Tecnológico" numFmtId="0">
      <sharedItems>
        <s v="Logaritmos"/>
        <s v="Reloj Calculante"/>
        <s v="Pascalina"/>
        <s v="Stepped Reckoner"/>
        <s v="Telar de Jacquard"/>
        <s v="Aritmómetro"/>
        <s v="Máquina Diferencial"/>
        <s v="Máquina Analítica"/>
        <s v="Primer Algoritmo"/>
        <s v="Telégrafo"/>
        <s v="Álgebra de Boole"/>
        <s v="Teléfono"/>
        <s v="Máquina Tabuladora"/>
        <s v="Fundación IBM (CTR)"/>
        <s v="Válvula de Vacío (Diodo)"/>
        <s v="Máquina de Turing"/>
        <s v="Tesis Digital"/>
        <s v="Z1"/>
        <s v="Z3"/>
        <s v="ABC"/>
        <s v="Colossus"/>
        <s v="ENIAC"/>
        <s v="Mark I"/>
        <s v="Arquitectura Von Neumann"/>
        <s v="Memex (Concepto)"/>
        <s v="Transistor"/>
        <s v="Teoría de la Información"/>
        <s v="Manchester Baby"/>
        <s v="EDSAC"/>
        <s v="Test de Turing"/>
        <s v="UNIVAC I"/>
        <s v="LEO I"/>
        <s v="Compilador A-0"/>
        <s v="IBM 701"/>
        <s v="Silicon Transistor"/>
        <s v="Disco Duro (RAMAC)"/>
        <s v="Inteligencia Artificial"/>
        <s v="FORTRAN"/>
        <s v="Sputnik 1"/>
        <s v="Circuito Integrado (Chip)"/>
        <s v="LISP"/>
        <s v="COBOL"/>
        <s v="IBM 1401"/>
        <s v="Packet Switching"/>
        <s v="Robot Industrial"/>
        <s v="Spacewar!"/>
        <s v="Sketchpad"/>
        <s v="Mouse (Prototipo)"/>
        <s v="IBM System/360"/>
        <s v="BASIC"/>
        <s v="Ley de Moore"/>
        <s v="Hipertexto"/>
        <s v="ELIZA"/>
        <s v="La Madre de todas las Demos"/>
        <s v="ARPANET"/>
        <s v="UNIX"/>
        <s v="CCD"/>
        <s v="Bases de Datos Relacionales"/>
        <s v="Fibra Óptica"/>
        <s v="Intel 4004"/>
        <s v="Email"/>
        <s v="Disquete (Floppy)"/>
        <s v="Lenguaje C"/>
        <s v="Pong"/>
        <s v="Magnavox Odyssey"/>
        <s v="Ethernet"/>
        <s v="Xerox Alto"/>
        <s v="Teléfono Móvil"/>
        <s v="TCP/IP (Diseño)"/>
        <s v="Altair 8800"/>
        <s v="Microsoft"/>
        <s v="Apple I"/>
        <s v="Cray-1"/>
        <s v="Apple II"/>
        <s v="Commodore PET"/>
        <s v="TRS-80"/>
        <s v="Atari 2600"/>
        <s v="Intel 8086"/>
        <s v="VisiCalc"/>
        <s v="Walkman"/>
        <s v="Pac-Man"/>
        <s v="Disco Duro 5.25"/>
        <s v="IBM PC (5150)"/>
        <s v="MS-DOS"/>
        <s v="Osborne 1"/>
        <s v="Commodore 64"/>
        <s v="Compact Disc (CD)"/>
        <s v="Protocolo SMTP"/>
        <s v="Internet (Nace)"/>
        <s v="C++"/>
        <s v="Motorola DynaTAC"/>
        <s v="Nintendo NES"/>
        <s v="Macintosh"/>
        <s v="Memoria Flash"/>
        <s v="DNS"/>
        <s v="Windows 1.0"/>
        <s v="CD-ROM"/>
        <s v="ARM (Arquitectura)"/>
        <s v="SQL (Estándar)"/>
        <s v="Perl"/>
        <s v="Game Boy"/>
        <s v="World Wide Web"/>
        <s v="Photoshop"/>
        <s v="Windows 3.0"/>
        <s v="Linux Kernel"/>
        <s v="Python"/>
        <s v="GSM (2G)"/>
        <s v="SMS"/>
        <s v="Mosaic"/>
        <s v="Pentium"/>
        <s v="PDF"/>
        <s v="Netscape Navigator"/>
        <s v="Amazon"/>
        <s v="PHP"/>
        <s v="Windows 95"/>
        <s v="Java"/>
        <s v="DVD"/>
        <s v="eBay"/>
        <s v="Hotmail"/>
        <s v="Deep Blue"/>
        <s v="USB 1.0"/>
        <s v="Wi-Fi (802.11)"/>
        <s v="Google Search"/>
        <s v="iMac"/>
        <s v="Mozilla"/>
        <s v="Nvidia GeForce 256"/>
        <s v="Napster"/>
        <s v="Bluetooth 1.0"/>
        <s v="PlayStation 2"/>
        <s v="USB Flash Drive"/>
        <s v="C# (C Sharp)"/>
        <s v="Wikipedia"/>
        <s v="Mac OS X"/>
        <s v="iPod"/>
        <s v="Windows XP"/>
        <s v="Skype"/>
        <s v="WordPress"/>
        <s v="Facebook"/>
        <s v="Firefox 1.0"/>
        <s v="Ubuntu"/>
        <s v="YouTube"/>
        <s v="Google Maps"/>
        <s v="Git"/>
        <s v="AWS (Cloud)"/>
        <s v="Twitter"/>
        <s v="iPhone"/>
        <s v="Kindle"/>
        <s v="Android"/>
        <s v="App Store"/>
        <s v="Blockchain (Bitcoin)"/>
        <s v="Spotify"/>
        <s v="Chrome"/>
        <s v="Node.js"/>
        <s v="WhatsApp"/>
        <s v="iPad"/>
        <s v="Instagram"/>
        <s v="Siri (Adquisición)"/>
        <s v="Minecraft (Oficial)"/>
        <s v="Zoom"/>
        <s v="Raspberry Pi"/>
        <s v="AlexNet"/>
        <s v="CRISPR-Cas9"/>
        <s v="Tesla Model S"/>
        <s v="Docker"/>
        <s v="PlayStation 4"/>
        <s v="HTML5 (Final)"/>
        <s v="Amazon Echo (Alexa)"/>
        <s v="Ethereum"/>
        <s v="OpenAI"/>
        <s v="Windows 10"/>
        <s v="USB-C"/>
        <s v="AlphaGo"/>
        <s v="AirPods"/>
        <s v="TikTok (Douyin)"/>
        <s v="Transformer"/>
        <s v="Nintendo Switch"/>
        <s v="Fortnite"/>
        <s v="BERT"/>
        <s v="Computación Cuántica"/>
        <s v="5G (Despliegue)"/>
        <s v="Starlink"/>
        <s v="GPT-3"/>
        <s v="Apple M1"/>
        <s v="Vacunas ARNm"/>
        <s v="DALL-E"/>
        <s v="GitHub Copilot"/>
        <s v="NFT Boom"/>
        <s v="Metaverso (Rebrand)"/>
        <s v="Midjourney"/>
        <s v="Stable Diffusion"/>
        <s v="Frontier"/>
        <s v="ChatGPT"/>
        <s v="GPT-4"/>
        <s v="Llama 2"/>
        <s v="Vision Pro (Anuncio)"/>
        <s v="Gemini"/>
        <s v="Nvidia H100"/>
        <s v="Sora"/>
        <s v="Neuralink (Telepathy)"/>
        <s v="Copilot PC"/>
        <s v="Groq"/>
        <s v="Devin"/>
        <s v="Claude 3"/>
        <s v="Rabbit R1"/>
        <s v="Agentes Autónomos"/>
        <s v="Fusión Nuclear (Hito)"/>
        <s v="Computación Óptica"/>
        <s v="6G (Estándar)"/>
      </sharedItems>
    </cacheField>
    <cacheField name="Figura/Componente" numFmtId="0">
      <sharedItems>
        <s v="John Napier"/>
        <s v="Wilhelm Schickard"/>
        <s v="Blaise Pascal"/>
        <s v="Gottfried Leibniz"/>
        <s v="Joseph Marie Jacquard"/>
        <s v="Thomas de Colmar"/>
        <s v="Charles Babbage"/>
        <s v="Ada Lovelace"/>
        <s v="Samuel Morse"/>
        <s v="George Boole"/>
        <s v="Alexander Graham Bell"/>
        <s v="Herman Hollerith"/>
        <s v="John Fleming"/>
        <s v="Alan Turing"/>
        <s v="Claude Shannon"/>
        <s v="Konrad Zuse"/>
        <s v="Atanasoff/Berry"/>
        <s v="Tommy Flowers"/>
        <s v="Eckert/Mauchly"/>
        <s v="Howard Aiken/IBM"/>
        <s v="John von Neumann"/>
        <s v="Vannevar Bush"/>
        <s v="Bardeen/Brattain/Shockley"/>
        <s v="Williams/Kilburn"/>
        <s v="Maurice Wilkes"/>
        <s v="J. Lyons &amp; Co."/>
        <s v="Grace Hopper"/>
        <s v="IBM"/>
        <s v="Texas Instruments"/>
        <s v="Dartmouth Conf."/>
        <s v="John Backus"/>
        <s v="URSS"/>
        <s v="Jack Kilby"/>
        <s v="John McCarthy"/>
        <s v="Grace Hopper/DoD"/>
        <s v="Paul Baran"/>
        <s v="Unimate"/>
        <s v="Steve Russell"/>
        <s v="Ivan Sutherland"/>
        <s v="Douglas Engelbart"/>
        <s v="Kemeny/Kurtz"/>
        <s v="Gordon Moore"/>
        <s v="Ted Nelson"/>
        <s v="Joseph Weizenbaum"/>
        <s v="DoD / BBN"/>
        <s v="Thompson/Ritchie"/>
        <s v="Bell Labs"/>
        <s v="Edgar Codd"/>
        <s v="Corning"/>
        <s v="Ted Hoff/Intel"/>
        <s v="Ray Tomlinson"/>
        <s v="Dennis Ritchie"/>
        <s v="Atari"/>
        <s v="Ralph Baer"/>
        <s v="Robert Metcalfe"/>
        <s v="Xerox PARC"/>
        <s v="Martin Cooper (Motorola)"/>
        <s v="Cerf/Kahn"/>
        <s v="MITS"/>
        <s v="Gates/Allen"/>
        <s v="Wozniak/Jobs"/>
        <s v="Seymour Cray"/>
        <s v="Apple"/>
        <s v="Commodore"/>
        <s v="Tandy"/>
        <s v="Intel"/>
        <s v="Dan Bricklin"/>
        <s v="Sony"/>
        <s v="Namco"/>
        <s v="Seagate"/>
        <s v="Microsoft"/>
        <s v="Adam Osborne"/>
        <s v="Sony/Philips"/>
        <s v="Postel"/>
        <s v="ARPANET"/>
        <s v="Bjarne Stroustrup"/>
        <s v="Motorola"/>
        <s v="Nintendo"/>
        <s v="Fujio Masuoka (Toshiba)"/>
        <s v="Paul Mockapetris"/>
        <s v="Acorn Computers"/>
        <s v="ANSI"/>
        <s v="Larry Wall"/>
        <s v="Tim Berners-Lee"/>
        <s v="Adobe"/>
        <s v="Linus Torvalds"/>
        <s v="Guido van Rossum"/>
        <s v="ETSI"/>
        <s v="Neil Papworth"/>
        <s v="NCSA"/>
        <s v="Netscape"/>
        <s v="Jeff Bezos"/>
        <s v="Rasmus Lerdorf"/>
        <s v="Sun Microsystems"/>
        <s v="Consorcio"/>
        <s v="Pierre Omidyar"/>
        <s v="Sabeer Bhatia"/>
        <s v="Intel/MS/etc"/>
        <s v="IEEE"/>
        <s v="Page y Brin"/>
        <s v="Nvidia"/>
        <s v="Shawn Fanning"/>
        <s v="Ericsson"/>
        <s v="Trek/IBM"/>
        <s v="Jimmy Wales"/>
        <s v="Zennstrom/Friis"/>
        <s v="Mullenweg"/>
        <s v="Zuckerberg"/>
        <s v="Mozilla"/>
        <s v="Canonical"/>
        <s v="Hurley/Chen/Karim"/>
        <s v="Google"/>
        <s v="Amazon"/>
        <s v="Jack Dorsey"/>
        <s v="Satoshi Nakamoto"/>
        <s v="Daniel Ek"/>
        <s v="Ryan Dahl"/>
        <s v="Koum/Acton"/>
        <s v="Systrom/Krieger"/>
        <s v="Mojang"/>
        <s v="Eric Yuan"/>
        <s v="Eben Upton"/>
        <s v="Hinton/Krizhevsky"/>
        <s v="Doudna/Charpentier"/>
        <s v="Tesla"/>
        <s v="Solomon Hykes"/>
        <s v="W3C"/>
        <s v="Vitalik Buterin"/>
        <s v="Musk/Altman"/>
        <s v="USB-IF"/>
        <s v="DeepMind"/>
        <s v="ByteDance"/>
        <s v="Google Brain"/>
        <s v="Epic Games"/>
        <s v="Google (Sycamore)"/>
        <s v="Varios"/>
        <s v="SpaceX"/>
        <s v="OpenAI"/>
        <s v="BioNTech/Moderna"/>
        <s v="GitHub"/>
        <s v="Meta"/>
        <s v="David Holz"/>
        <s v="Stability AI"/>
        <s v="Oak Ridge"/>
        <s v="Elon Musk"/>
        <s v="Groq Inc."/>
        <s v="Cognition"/>
        <s v="Anthropic"/>
        <s v="Rabbit"/>
        <s v="ITER/NIF"/>
        <s v="ITU"/>
      </sharedItems>
    </cacheField>
    <cacheField name="Impacto Breve" numFmtId="0">
      <sharedItems>
        <s v="Base matemática para el cálculo"/>
        <s v="Primera máquina de calcular (diseño)"/>
        <s v="Primera calculadora mecánica funcional"/>
        <s v="Calculadora que multiplicaba"/>
        <s v="Uso de tarjetas perforadas"/>
        <s v="Primera calculadora comercial fiable"/>
        <s v="Cálculo de tablas polinómicas"/>
        <s v="Diseño de computador de propósito general"/>
        <s v="Primer programa de la historia"/>
        <s v="Comunicación a larga distancia"/>
        <s v="Lógica binaria fundamental"/>
        <s v="Transmisión de voz"/>
        <s v="Procesamiento datos censo (Tarjetas)"/>
        <s v="Nace el gigante de la computación"/>
        <s v="Control del flujo eléctrico"/>
        <s v="Modelo matemático de la computación"/>
        <s v="Circuitos digitales y booleano"/>
        <s v="Primera computadora binaria programable"/>
        <s v="Primera máquina Turing-completa"/>
        <s v="Primer computador digital electrónico"/>
        <s v="Descifrado de códigos nazis"/>
        <s v="Primer ordenador electrónico general"/>
        <s v="Computador electromecánico gigante"/>
        <s v="Estructura CPU+Memoria unificada"/>
        <s v="Precursor del hipertexto"/>
        <s v="Reemplazo de válvulas (Miniaturización)"/>
        <s v="Matemática de la comunicación digital"/>
        <s v="Primer programa almacenado ejecutado"/>
        <s v="Ordenador práctico con programa"/>
        <s v="Criterio de inteligencia artificial"/>
        <s v="Primer ordenador comercial EE.UU."/>
        <s v="Primer ordenador para negocios"/>
        <s v="Primer compilador software"/>
        <s v="Primera computadora científica IBM"/>
        <s v="Transistores comerciales de silicio"/>
        <s v="Primer almacenamiento magnético rotatorio"/>
        <s v="Nacimiento del campo IA"/>
        <s v="Primer lenguaje alto nivel popular"/>
        <s v="Inicio carrera espacial y telecom satélite"/>
        <s v="Varios componentes en una pieza"/>
        <s v="Lenguaje para IA (listas)"/>
        <s v="Lenguaje estándar negocios"/>
        <s v="Ordenador empresarial masivo"/>
        <s v="Base de redes robustas"/>
        <s v="Automatización de fábricas"/>
        <s v="Primer videojuego de ordenador"/>
        <s v="Primera GUI y CAD"/>
        <s v="Interfaz humano-máquina"/>
        <s v="Familia compatible de ordenadores"/>
        <s v="Programación para estudiantes"/>
        <s v="Predicción escalado chips"/>
        <s v="Concepto de enlaces digitales"/>
        <s v="Primer chatbot (psicoterapeuta)"/>
        <s v="Demo de Mouse/GUI/Videollamada"/>
        <s v="Precursor de Internet (4 nodos)"/>
        <s v="Sistema operativo portable"/>
        <s v="Base de la fotografía digital"/>
        <s v="Modelo SQL y tablas"/>
        <s v="Transmisión datos luz"/>
        <s v="Primer microprocesador comercial"/>
        <s v="Correo en red (@)"/>
        <s v="Almacenamiento portátil"/>
        <s v="Base sistemas modernos"/>
        <s v="Nacimiento industria arcade"/>
        <s v="Primera consola doméstica"/>
        <s v="Redes de área local (LAN)"/>
        <s v="Primer PC con GUI y Mouse"/>
        <s v="Primera llamada celular"/>
        <s v="Protocolo de Internet"/>
        <s v="Inicio revolución microordenador"/>
        <s v="Fundación empresa software"/>
        <s v="Ordenador personal hobby"/>
        <s v="Supercomputadora vectorial ícono"/>
        <s v="PC color masivo éxito"/>
        <s v="PC todo en uno"/>
        <s v="PC accesible masivo"/>
        <s v="Consola cartuchos intercambiables"/>
        <s v="Inicio arquitectura x86"/>
        <s v="Primera hoja cálculo (Killer App)"/>
        <s v="Música portátil personal"/>
        <s v="Fenómeno cultural videojuegos"/>
        <s v="Almacenamiento PC (5MB)"/>
        <s v="Estándar industria PC"/>
        <s v="SO para IBM PC"/>
        <s v="Primer ordenador &quot;portátil&quot;"/>
        <s v="PC más vendido historia"/>
        <s v="Audio digital óptico"/>
        <s v="Estándar email"/>
        <s v="Migración a TCP/IP"/>
        <s v="C con clases"/>
        <s v="Primer móvil comercial"/>
        <s v="Rescate industria videojuegos"/>
        <s v="GUI para las masas"/>
        <s v="Almacenamiento no volátil"/>
        <s v="Nombres de dominio"/>
        <s v="GUI para DOS"/>
        <s v="Datos en disco óptico"/>
        <s v="Base de chips móviles futuros"/>
        <s v="Lenguaje bases de datos"/>
        <s v="Lenguaje scripting web"/>
        <s v="Videojuego portátil masivo"/>
        <s v="Propuesta de la Web"/>
        <s v="Edición imagen digital"/>
        <s v="Éxito masivo de Windows"/>
        <s v="SO Open Source"/>
        <s v="Lenguaje multipropósito"/>
        <s v="Estándar móvil digital"/>
        <s v="Mensajería texto móvil"/>
        <s v="Primer navegador gráfico popular"/>
        <s v="Marca dominante CPUs"/>
        <s v="Documento digital portable"/>
        <s v="Popularización de la Web"/>
        <s v="Inicio e-commerce"/>
        <s v="Lenguaje lado servidor web"/>
        <s v="Inicio y barra tareas"/>
        <s v="Lenguaje multiplataforma"/>
        <s v="Video digital alta capacidad"/>
        <s v="Subastas online"/>
        <s v="Webmail gratuito"/>
        <s v="IA gana a Kasparov (Ajedrez)"/>
        <s v="Puerto universal"/>
        <s v="Internet inalámbrico"/>
        <s v="Motor búsqueda moderno"/>
        <s v="Diseño y USB por defecto"/>
        <s v="Código abierto navegador"/>
        <s v="Primera GPU moderna"/>
        <s v="P2P música"/>
        <s v="Conexión corto alcance"/>
        <s v="Consola más vendida historia"/>
        <s v="Adiós al disquete"/>
        <s v="Lenguaje plataforma .NET"/>
        <s v="Conocimiento colaborativo"/>
        <s v="Unix para usuarios finales"/>
        <s v="Música digital masiva"/>
        <s v="Estabilidad NT en hogar"/>
        <s v="VoIP masivo"/>
        <s v="Democratización CMS web"/>
        <s v="Red social hegemónica"/>
        <s v="Alternativa a IE"/>
        <s v="Linux para humanos"/>
        <s v="Video online masivo"/>
        <s v="Mapas digitales dinámicos"/>
        <s v="Control de versiones moderno"/>
        <s v="Infraestructura como servicio"/>
        <s v="Microblogging"/>
        <s v="Smartphone moderno multitouch"/>
        <s v="Lectura digital masiva"/>
        <s v="SO móvil abierto"/>
        <s v="Modelo negocio apps"/>
        <s v="Criptomoneda y DLT"/>
        <s v="Streaming música legal"/>
        <s v="Navegador rápido V8"/>
        <s v="JavaScript en servidor"/>
        <s v="Mensajería móvil global"/>
        <s v="Era Post-PC (Tablet)"/>
        <s v="Red social visual"/>
        <s v="Asistente voz móvil"/>
        <s v="Fenómeno creativo juegos"/>
        <s v="Videoconferencia moderna"/>
        <s v="PC educativo $35"/>
        <s v="Deep Learning visión"/>
        <s v="Edición genética programable"/>
        <s v="Coche eléctrico conectado"/>
        <s v="Contenedores software"/>
        <s v="Consola social compartida"/>
        <s v="Web semántica estándar"/>
        <s v="Altavoz inteligente"/>
        <s v="Smart Contracts"/>
        <s v="Fundación lab IA"/>
        <s v="SO como servicio"/>
        <s v="Conector reversible universal"/>
        <s v="IA vence en Go"/>
        <s v="Audio inalámbrico TWS"/>
        <s v="Algoritmo video corto"/>
        <s v="Arquitectura base LLMs"/>
        <s v="Consola híbrida"/>
        <s v="Metaverso social temprano"/>
        <s v="NLP bidireccional"/>
        <s v="Supremacía cuántica (demo)"/>
        <s v="Red móvil alta velocidad"/>
        <s v="Internet satelital baja latencia"/>
        <s v="LLM Generativo potente"/>
        <s v="ARM en escritorio (Silicon)"/>
        <s v="Bioinformática aplicada"/>
        <s v="Texto a Imagen"/>
        <s v="Programación asistida IA"/>
        <s v="Arte digital tokenizado"/>
        <s v="Apuesta por VR/AR"/>
        <s v="Arte generativo calidad"/>
        <s v="IA Generativa Open Source"/>
        <s v="Supercomputadora Exascale"/>
        <s v="Chatbot IA masivo"/>
        <s v="Modelo multimodal avanzado"/>
        <s v="LLM Open Source potente"/>
        <s v="Computación espacial"/>
        <s v="Modelo nativo multimodal"/>
        <s v="Chip estándar para IA"/>
        <s v="Video generativo realista"/>
        <s v="Implante cerebral humano"/>
        <s v="Integración IA en OS"/>
        <s v="Inferencia IA ultra-rápida (LPU)"/>
        <s v="Ingeniero software IA autónomo"/>
        <s v="Modelo IA contexto largo"/>
        <s v="Dispositivo post-app (IA)"/>
        <s v="IA que ejecuta acciones"/>
        <s v="Avance energía limpia (Simulación)"/>
        <s v="Procesadores de luz"/>
        <s v="Definición nueva red"/>
      </sharedItems>
    </cacheField>
    <cacheField name="Siglo" numFmtId="0">
      <sharedItems>
        <s v="XVII"/>
        <s v="XIX"/>
        <s v="XX"/>
        <s v="XXI"/>
      </sharedItems>
    </cacheField>
    <cacheField name="Tipo" numFmtId="0">
      <sharedItems>
        <s v="Teórica"/>
        <s v="Mecánica"/>
        <s v="Telecom"/>
        <s v="Electromecánica"/>
        <s v="Empresa"/>
        <s v="Electrónica"/>
        <s v="IA"/>
        <s v="Software"/>
        <s v="Hardware"/>
        <s v="Digital"/>
        <s v="Redes"/>
        <s v="Robótica"/>
        <s v="Periférico"/>
        <s v="Evento"/>
        <s v="Internet"/>
        <s v="Bio"/>
        <s v="Transporte"/>
        <s v="Cuántica"/>
        <s v="Concepto"/>
        <s v="Física"/>
      </sharedItems>
    </cacheField>
    <cacheField name="País" numFmtId="0">
      <sharedItems>
        <s v="Escocia"/>
        <s v="Alemania"/>
        <s v="Francia"/>
        <s v="Reino Unido"/>
        <s v="EE.UU."/>
        <s v="URSS"/>
        <s v="Japón"/>
        <s v="Japón/P.Bajos"/>
        <s v="Suiza (CERN)"/>
        <s v="Finlandia"/>
        <s v="P.Bajos"/>
        <s v="Europa"/>
        <s v="Canadá"/>
        <s v="Global"/>
        <s v="Suecia"/>
        <s v="Israel/Singapur"/>
        <s v="Estonia"/>
        <s v="Sudáfrica/UK"/>
        <s v="China"/>
        <s v="Alemania/EE.UU."/>
      </sharedItems>
    </cacheField>
    <cacheField name="Generación" numFmtId="0">
      <sharedItems>
        <s v="Pre-Gen"/>
        <s v="1ª"/>
        <s v="2ª"/>
        <s v="Teórica"/>
        <s v="3ª"/>
        <s v="4ª"/>
        <s v="5ª"/>
        <s v="IA"/>
        <s v="Exp"/>
      </sharedItems>
    </cacheField>
    <cacheField name="Relevancia (1-10)" numFmtId="0">
      <sharedItems containsSemiMixedTypes="0" containsString="0" containsNumber="1" containsInteger="1">
        <n v="8.0"/>
        <n v="7.0"/>
        <n v="9.0"/>
        <n v="10.0"/>
        <n v="6.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275" sheet="3 - Matriz"/>
  </cacheSource>
  <cacheFields>
    <cacheField name="Plataforma" numFmtId="0">
      <sharedItems containsBlank="1">
        <s v="TikTok"/>
        <s v="Instagram"/>
        <s v="Facebook"/>
        <s v="WhatsApp"/>
        <s v="LinkedIn"/>
        <s v="YouTube"/>
        <s v="Snapchat"/>
        <s v="Twitter (X)"/>
        <s v="Telegram"/>
        <s v="Pinterest"/>
        <s v="Reddit"/>
        <s v="Discord"/>
        <s v="Twitch"/>
        <s v="Netflix"/>
        <s v="Spotify"/>
        <s v="Tinder"/>
        <s v="Bumble"/>
        <s v="Grindr"/>
        <s v="Roblox"/>
        <s v="Fortnite"/>
        <s v="Minecraft"/>
        <s v="Zoom"/>
        <s v="Slack"/>
        <s v="Teams"/>
        <s v="WeChat"/>
        <s v="Douyin"/>
        <s v="Sina Weibo"/>
        <s v="Line"/>
        <s v="KakaoTalk"/>
        <s v="VK (Vkontakte)"/>
        <s v="Signal"/>
        <s v="Google Maps"/>
        <s v="Google Photos"/>
        <s v="Gmail"/>
        <s v="Outlook"/>
        <s v="Dropbox"/>
        <s v="iCloud"/>
        <s v="OnlyFans"/>
        <s v="Pornhub"/>
        <s v="Shein"/>
        <s v="Temu"/>
        <s v="Amazon"/>
        <s v="AliExpress"/>
        <s v="eBay"/>
        <s v="Airbnb"/>
        <s v="Uber"/>
        <s v="Cabify"/>
        <s v="BlaBlaCar"/>
        <s v="Booking"/>
        <s v="TripAdvisor"/>
        <s v="Strava"/>
        <s v="MyFitnessPal"/>
        <s v="Fitbit"/>
        <s v="Flo"/>
        <s v="Duolingo"/>
        <s v="Kahoot"/>
        <s v="ClassDojo"/>
        <s v="ChatGPT"/>
        <s v="Midjourney"/>
        <s v="DALL-E"/>
        <s v="Character.AI"/>
        <s v="Replika"/>
        <s v="Binance"/>
        <s v="Coinbase"/>
        <s v="MetaMask"/>
        <s v="Revolut"/>
        <s v="PayPal"/>
        <s v="Bizum"/>
        <s v="Venmo"/>
        <s v="Cash App"/>
        <s v="Worldcoin"/>
        <s v="Genshin Impact"/>
        <s v="League of Legends"/>
        <s v="Call of Duty"/>
        <s v="Candy Crush"/>
        <s v="Clash Royale"/>
        <s v="Among Us"/>
        <s v="Steam"/>
        <s v="PlayStation Net"/>
        <s v="Xbox Live"/>
        <s v="Nintendo Online"/>
        <s v="BeReal"/>
        <s v="Clubhouse"/>
        <s v="Threads"/>
        <s v="Mastodon"/>
        <s v="Tumblr"/>
        <s v="Flickr"/>
        <s v="Vimeo"/>
        <s v="Dailymotion"/>
        <s v="Rumble"/>
        <s v="Truth Social"/>
        <s v="Parler"/>
        <s v="Bilibili"/>
        <s v="Kuaishou"/>
        <s v="QQ"/>
        <s v="Viber"/>
        <s v="IMO"/>
        <s v="Skype"/>
        <s v="Google Meet"/>
        <s v="Webex"/>
        <s v="Trello"/>
        <s v="Notion"/>
        <s v="Canva"/>
        <s v="Adobe Cloud"/>
        <s v="Figma"/>
        <s v="GitHub"/>
        <s v="GitLab"/>
        <s v="Stack Overflow"/>
        <s v="Coursera"/>
        <s v="Udemy"/>
        <s v="edX"/>
        <s v="Brainly"/>
        <s v="Chegg"/>
        <s v="Wattpad"/>
        <s v="Goodreads"/>
        <s v="Kindle"/>
        <s v="Audible"/>
        <s v="SoundCloud"/>
        <s v="Deezer"/>
        <s v="Apple Music"/>
        <s v="Tidal"/>
        <s v="Shazam"/>
        <s v="Disney+"/>
        <s v="HBO Max"/>
        <s v="Prime Video"/>
        <s v="Hulu"/>
        <s v="Peacock"/>
        <s v="Paramount+"/>
        <s v="Apple TV+"/>
        <s v="Roku"/>
        <s v="Chromecast"/>
        <s v="Fire TV"/>
        <s v="Peloton"/>
        <s v="Garmin"/>
        <s v="Nike Run Club"/>
        <s v="Adidas Running"/>
        <s v="BetterHelp"/>
        <s v="Doctoralia"/>
        <s v="Tinder (Gold)"/>
        <s v="Hinge"/>
        <s v="OkCupid"/>
        <s v="Plenty of Fish"/>
        <s v="Happn"/>
        <s v="Meetic"/>
        <s v="Badoo"/>
        <s v="Ashley Madison"/>
        <s v="Wallapop"/>
        <s v="Vinted"/>
        <s v="Milanuncios"/>
        <s v="Craigslist"/>
        <s v="Idealista"/>
        <s v="Fotocasa"/>
        <s v="Zillow"/>
        <s v="Google Earth"/>
        <s v="Waze"/>
        <s v="Citymapper"/>
        <s v="Google Drive"/>
        <s v="OneDrive"/>
        <s v="Box"/>
        <s v="WeTransfer"/>
        <s v="Mega"/>
        <s v="Tor Browser"/>
        <s v="Brave"/>
        <s v="Opera"/>
        <s v="Firefox"/>
        <s v="Edge"/>
        <s v="Safari"/>
        <s v="DuckDuckGo"/>
        <s v="Bing"/>
        <s v="Yandex"/>
        <s v="Baidu"/>
        <s v="ProtonMail"/>
        <s v="Tutanota"/>
        <s v="LastPass"/>
        <s v="1Password"/>
        <s v="Bitwarden"/>
        <s v="NordVPN"/>
        <s v="ExpressVPN"/>
        <s v="Avast"/>
        <s v="Kaspersky"/>
        <s v="McAfee"/>
        <s v="Norton"/>
        <s v="TeamViewer"/>
        <s v="AnyDesk"/>
        <s v="Salesforce"/>
        <s v="SAP"/>
        <s v="Oracle"/>
        <s v="HubSpot"/>
        <s v="Shopify"/>
        <s v="Wordpress"/>
        <s v="Wix"/>
        <s v="Squarespace"/>
        <s v="Medium"/>
        <s v="Substack"/>
        <s v="Patreon"/>
        <s v="Kickstarter"/>
        <s v="Indiegogo"/>
        <s v="GoFundMe"/>
        <s v="Change.org"/>
        <s v="Eventbrite"/>
        <s v="Ticketmaster"/>
        <s v="LiveNation"/>
        <s v="StubHub"/>
        <s v="OpenTable"/>
        <s v="TheFork"/>
        <s v="Glovo"/>
        <s v="Just Eat"/>
        <s v="Uber Eats"/>
        <s v="Deliveroo"/>
        <s v="Rappi"/>
        <s v="DoorDash"/>
        <s v="Grubhub"/>
        <s v="Instacart"/>
        <s v="TaskRabbit"/>
        <s v="Fiverr"/>
        <s v="Upwork"/>
        <s v="Freelancer"/>
        <s v="Malt"/>
        <s v="InfoJobs"/>
        <s v="Indeed"/>
        <s v="Glassdoor"/>
        <s v="Monster"/>
        <s v="Xing"/>
        <s v="ResearchGate"/>
        <s v="Academia.edu"/>
        <s v="Moodle"/>
        <s v="Blackboard"/>
        <s v="Canvas"/>
        <s v="Google Scholar"/>
        <s v="Zotero"/>
        <s v="Mendeley"/>
        <s v="Overleaf"/>
        <s v="WolframAlpha"/>
        <s v="GeoGebra"/>
        <s v="Desmos"/>
        <s v="Scratch"/>
        <s v="Code.org"/>
        <s v="Codecademy"/>
        <s v="Pluralsight"/>
        <s v="Domestika"/>
        <s v="Crehana"/>
        <s v="Platzi"/>
        <s v="MasterClass"/>
        <s v="TED"/>
        <s v="Khan Academy"/>
        <s v="Wikipedia"/>
        <s v="IMDb"/>
        <s v="Rotten Tomatoes"/>
        <s v="Metacritic"/>
        <s v="Fandom"/>
        <s v="Genius"/>
        <s v="Discogs"/>
        <s v="Bandcamp"/>
        <s v="Last.fm"/>
        <s v="9GAG"/>
        <s v="Imgur"/>
        <s v="Giphy"/>
        <s v="Tenor"/>
        <s v="VLC"/>
        <s v="WinRAR"/>
        <s v="7-Zip"/>
        <s v="OBS Studio"/>
        <s v="Blender"/>
        <s v="Unity"/>
        <s v="Unreal Engine"/>
        <s v="Godot"/>
        <s v="Raspberry Pi"/>
        <s v="Arduino"/>
        <m/>
      </sharedItems>
    </cacheField>
    <cacheField name="Riesgo (1-10)" numFmtId="0">
      <sharedItems containsString="0" containsBlank="1" containsNumber="1" containsInteger="1">
        <n v="9.0"/>
        <n v="8.0"/>
        <n v="10.0"/>
        <n v="5.0"/>
        <n v="3.0"/>
        <n v="6.0"/>
        <n v="7.0"/>
        <n v="4.0"/>
        <n v="2.0"/>
        <n v="1.0"/>
        <m/>
      </sharedItems>
    </cacheField>
    <cacheField name="Riesgo Identificado" numFmtId="0">
      <sharedItems containsBlank="1">
        <s v="Privacidad de menores"/>
        <s v="Salud mental (Autoestima)"/>
        <s v="Filtración masiva datos"/>
        <s v="Desinformación viral"/>
        <s v="Phishing laboral"/>
        <s v="Radicalización algoritmo"/>
        <s v="Sextorsión"/>
        <s v="Discurso de odio"/>
        <s v="Contenido ilegal/Estafas"/>
        <s v="Trastornos alimenticios"/>
        <s v="Cámaras de eco"/>
        <s v="Grooming (Acoso menores)"/>
        <s v="Interacción parasocial"/>
        <s v="Sedentarismo"/>
        <s v="Problemas auditivos"/>
        <s v="Catfishing/Estafas"/>
        <s v="Acoso"/>
        <s v="Exposición ubicación"/>
        <s v="Depredadores sexuales"/>
        <s v="Adicción al juego"/>
        <s v="Griefing (Acoso juego)"/>
        <s v="Zoombombing"/>
        <s v="Estrés laboral (Burnout)"/>
        <s v="Vigilancia laboral"/>
        <s v="Vigilancia estatal"/>
        <s v="Adicción extrema"/>
        <s v="Censura política"/>
        <s v="Estafas financieras"/>
        <s v="Ciberacoso escolar"/>
        <s v="Propaganda"/>
        <s v="Uso delictivo (oculto)"/>
        <s v="Rastreo ubicación"/>
        <s v="Reconocimiento facial"/>
        <s v="Spam/Phishing"/>
        <s v="Malware en adjuntos"/>
        <s v="Robo de archivos"/>
        <s v="Filtración fotos privadas"/>
        <s v="Contenido adulto/Estafa"/>
        <s v="Trata de personas"/>
        <s v="Patrones oscuros (Dark Patterns)"/>
        <s v="Spyware/Malware"/>
        <s v="Falsificaciones"/>
        <s v="Estafa producto"/>
        <s v="Fraude en subastas"/>
        <s v="Cámaras ocultas"/>
        <s v="Seguridad física"/>
        <s v="Seguridad datos"/>
        <s v="Seguridad en ruta"/>
        <s v="Overbooking/Estafa"/>
        <s v="Reseñas falsas"/>
        <s v="Revelación ubicación casa"/>
        <s v="Fuga datos salud"/>
        <s v="Privacidad ciclo menstrual"/>
        <s v="Notificaciones intrusivas"/>
        <s v="Nombres ofensivos"/>
        <s v="Privacidad infantil"/>
        <s v="Alucinaciones/Mentiras"/>
        <s v="Derechos de autor"/>
        <s v="Deepfakes"/>
        <s v="Dependencia emocional"/>
        <s v="Erotismo IA/Dependencia"/>
        <s v="Pérdida financiera"/>
        <s v="Phishing bancario"/>
        <s v="Robo de cartera"/>
        <s v="Bloqueo de cuentas"/>
        <s v="Retención fondos"/>
        <s v="Estafa envío dinero"/>
        <s v="Privacidad transacciones"/>
        <s v="Lavado de dinero"/>
        <s v="Biometría iris"/>
        <s v="Ludopatía (Gacha)"/>
        <s v="Toxicidad verbal"/>
        <s v="Violencia/Insultos"/>
        <s v="Adicción patrón oscuro"/>
        <s v="Ludopatía infantil"/>
        <s v="Griefing"/>
        <s v="Estafas de items"/>
        <s v="Acoso voz"/>
        <s v="Limitación comunicación"/>
        <s v="Geolocalización"/>
        <s v="Discurso odio audio"/>
        <s v="Recopilación datos"/>
        <s v="Doxing (en instancias)"/>
        <s v="Comunidades tóxicas"/>
        <s v="Robo propiedad intel."/>
        <s v="Coste oculto"/>
        <s v="Contenido pirata"/>
        <s v="Desinformación"/>
        <s v="Cámara de eco política"/>
        <s v="Extremismo"/>
        <s v="Adicción anime"/>
        <s v="Contenido vulgar"/>
        <s v="Vigilancia"/>
        <s v="Spam"/>
        <s v="Seguridad baja"/>
        <s v="Suplantación identidad"/>
        <s v="Intrusión reuniones"/>
        <s v="Vulnerabilidades"/>
        <s v="Fuga información corp"/>
        <s v="Pérdida de notas"/>
        <s v="Phishing imitaciones"/>
        <s v="Coste abusivo"/>
        <s v="Fuga diseños"/>
        <s v="Malware en repos"/>
        <s v="Fuga código"/>
        <s v="Código inseguro"/>
        <s v="Certificados falsos"/>
        <s v="Calidad cursos baja"/>
        <s v="Ninguno"/>
        <s v="Trampas académicas"/>
        <s v="Plagio académico"/>
        <s v="Fanfiction erótico"/>
        <s v="Reseñas tóxicas"/>
        <s v="DRM (Bloqueo)"/>
        <s v="Coste"/>
        <s v="Bots de música"/>
        <s v="Coste alto"/>
        <s v="Contenido adulto"/>
        <s v="Ads intrusivos"/>
        <s v="Catálogo escaso"/>
        <s v="Rastreo visual TV"/>
        <s v="Fuga rutas GPS"/>
        <s v="Rastreo GPS"/>
        <s v="Venta datos salud"/>
        <s v="Falsas credenciales"/>
        <s v="Coste adictivo"/>
        <s v="Datos íntimos"/>
        <s v="Bots/Spam"/>
        <s v="Acoso por cercanía"/>
        <s v="Perfiles falsos"/>
        <s v="Extorsión"/>
        <s v="Quedadas inseguras"/>
        <s v="Estafa envío"/>
        <s v="Estafas bancarias"/>
        <s v="Delitos físicos"/>
        <s v="Alquiler falso"/>
        <s v="Datos vivienda"/>
        <s v="Privacidad hogar"/>
        <s v="Patrullas policía"/>
        <s v="Rastreo rutas"/>
        <s v="Escaneo contenido"/>
        <s v="Seguridad corp"/>
        <s v="Archivos maliciosos"/>
        <s v="Acceso Dark Web"/>
        <s v="Crypto estafas ads"/>
        <s v="Préstamos dudosos"/>
        <s v="Rastreo agresivo"/>
        <s v="Censura en China"/>
        <s v="Vigilancia rusa"/>
        <s v="Censura estatal"/>
        <s v="Hackeo bóveda"/>
        <s v="Publicidad engañosa"/>
        <s v="Propiedad opaca"/>
        <s v="Venta datos usuario"/>
        <s v="Vínculos Rusia"/>
        <s v="Bloatware"/>
        <s v="Minado crypto"/>
        <s v="Estafas soporte"/>
        <s v="Datos clientes"/>
        <s v="Complejidad"/>
        <s v="Coste licencias"/>
        <s v="Spam marketing"/>
        <s v="Dropshipping malo"/>
        <s v="Plugins inseguros"/>
        <s v="Bloqueo proveedor"/>
        <s v="Newsletter odio"/>
        <s v="Contenido límite"/>
        <s v="Proyectos humo"/>
        <s v="Estafas producto"/>
        <s v="Estafas caridad"/>
        <s v="Venta emails"/>
        <s v="Eventos falsos"/>
        <s v="Precios abusivos"/>
        <s v="Monopolio"/>
        <s v="Reventa especulativa"/>
        <s v="Precariedad laboral"/>
        <s v="Calidad comida"/>
        <s v="Costes ocultos"/>
        <s v="Propina obligada"/>
        <s v="Restaurantes falsos"/>
        <s v="Precios inflados"/>
        <s v="Seguridad hogar"/>
        <s v="Trabajo precario"/>
        <s v="Estafas pago"/>
        <s v="Ofertas falsas"/>
        <s v="Robo currículums"/>
        <s v="Reseñas falsas emp."/>
        <s v="Spam email"/>
        <s v="Copyright papers"/>
        <s v="Paywall ciencia"/>
        <s v="Interfaz hostil"/>
        <s v="Bloqueo Elsevier"/>
        <s v="Chat no moderado"/>
        <s v="Calidad variable"/>
        <s v="Vandalismo leve"/>
        <s v="Spoilers"/>
        <s v="Review bombing"/>
        <s v="Publicidad abusiva"/>
        <s v="Copyright letras"/>
        <s v="Racismo/Sexismo"/>
        <s v="Contenido viral"/>
        <s v="Curva aprendizaje"/>
        <s v="Costes runtime"/>
        <m/>
      </sharedItems>
    </cacheField>
    <cacheField name="Usuarios (M)" numFmtId="0">
      <sharedItems containsString="0" containsBlank="1" containsNumber="1" containsInteger="1">
        <n v="1200.0"/>
        <n v="2000.0"/>
        <n v="2900.0"/>
        <n v="800.0"/>
        <n v="2500.0"/>
        <n v="750.0"/>
        <n v="550.0"/>
        <n v="460.0"/>
        <n v="500.0"/>
        <n v="150.0"/>
        <n v="140.0"/>
        <n v="230.0"/>
        <n v="75.0"/>
        <n v="50.0"/>
        <n v="13.0"/>
        <n v="200.0"/>
        <n v="400.0"/>
        <n v="300.0"/>
        <n v="20.0"/>
        <n v="280.0"/>
        <n v="1300.0"/>
        <n v="700.0"/>
        <n v="580.0"/>
        <n v="190.0"/>
        <n v="100.0"/>
        <n v="1000.0"/>
        <n v="1800.0"/>
        <n v="850.0"/>
        <n v="180.0"/>
        <n v="120.0"/>
        <n v="130.0"/>
        <n v="5.0"/>
        <n v="90.0"/>
        <n v="30.0"/>
        <n v="15.0"/>
        <n v="10.0"/>
        <n v="80.0"/>
        <n v="3.0"/>
        <n v="65.0"/>
        <n v="250.0"/>
        <n v="110.0"/>
        <n v="36.0"/>
        <n v="135.0"/>
        <n v="60.0"/>
        <n v="260.0"/>
        <n v="2.0"/>
        <n v="1.0"/>
        <n v="600.0"/>
        <n v="4.0"/>
        <n v="40.0"/>
        <n v="350.0"/>
        <n v="8.0"/>
        <n v="175.0"/>
        <n v="16.0"/>
        <n v="48.0"/>
        <n v="25.0"/>
        <n v="70.0"/>
        <n v="6.0"/>
        <n v="7.0"/>
        <m/>
        <n v="54942.0"/>
      </sharedItems>
    </cacheField>
    <cacheField name="Categoría" numFmtId="0">
      <sharedItems containsBlank="1">
        <s v="Vídeo"/>
        <s v="Imagen"/>
        <s v="Red Social"/>
        <s v="Mensajería"/>
        <s v="Profesional"/>
        <s v="Microblogging"/>
        <s v="Foro"/>
        <s v="Chat/Voz"/>
        <s v="Streaming"/>
        <s v="Música"/>
        <s v="Citas"/>
        <s v="Juegos"/>
        <s v="Productividad"/>
        <s v="SuperApp"/>
        <s v="Utilidad"/>
        <s v="Email"/>
        <s v="Nube"/>
        <s v="Adultos"/>
        <s v="E-commerce"/>
        <s v="Viajes"/>
        <s v="Transporte"/>
        <s v="Fitness"/>
        <s v="Salud"/>
        <s v="Educación"/>
        <s v="IA Gen"/>
        <s v="IA Arte"/>
        <s v="IA Chat"/>
        <s v="Cripto"/>
        <s v="Fintech"/>
        <s v="Identidad"/>
        <s v="Gaming"/>
        <s v="Audio"/>
        <s v="Diseño"/>
        <s v="Desarrollo"/>
        <s v="Lectura"/>
        <s v="Hardware"/>
        <s v="Segunda Mano"/>
        <s v="Inmobiliaria"/>
        <s v="Navegador"/>
        <s v="Buscador"/>
        <s v="Seguridad"/>
        <s v="Empresa"/>
        <s v="Web"/>
        <s v="Blog"/>
        <s v="Mecenazgo"/>
        <s v="Crowdfunding"/>
        <s v="Activismo"/>
        <s v="Eventos"/>
        <s v="Reservas"/>
        <s v="Delivery"/>
        <s v="Servicios"/>
        <s v="Freelance"/>
        <s v="Empleo"/>
        <s v="Ciencia"/>
        <s v="Cine"/>
        <s v="Wiki"/>
        <s v="Humor"/>
        <s v="Software"/>
        <m/>
      </sharedItems>
    </cacheField>
    <cacheField name="Edad Mín.">
      <sharedItems containsBlank="1" containsMixedTypes="1" containsNumber="1" containsInteger="1">
        <n v="13.0"/>
        <n v="16.0"/>
        <n v="18.0"/>
        <n v="10.0"/>
        <n v="5.0"/>
        <n v="17.0"/>
        <n v="8.0"/>
        <n v="6.0"/>
        <s v="N/A"/>
        <m/>
      </sharedItems>
    </cacheField>
    <cacheField name="Sede" numFmtId="0">
      <sharedItems containsBlank="1">
        <s v="China"/>
        <s v="EE.UU."/>
        <s v="EAU"/>
        <s v="Suecia"/>
        <s v="Japón"/>
        <s v="Corea Sur"/>
        <s v="Rusia"/>
        <s v="R.Unido"/>
        <s v="Canadá"/>
        <s v="España"/>
        <s v="Francia"/>
        <s v="P.Bajos"/>
        <s v="Noruega"/>
        <s v="Malta"/>
        <s v="Finlandia"/>
        <s v="Alemania"/>
        <s v="Australia"/>
        <s v="Polonia"/>
        <s v="Lituania"/>
        <s v="Israel"/>
        <s v="N.Zelanda"/>
        <s v="Suiza"/>
        <s v="Panamá"/>
        <s v="I.Vírgenes"/>
        <s v="R.Checa"/>
        <s v="Colombia"/>
        <s v="Austria"/>
        <s v="Perú"/>
        <s v="Hong Kong"/>
        <s v="Argentina"/>
        <s v="Italia"/>
        <m/>
      </sharedItems>
    </cacheField>
    <cacheField name="Modelo" numFmtId="0">
      <sharedItems containsBlank="1">
        <s v="Publicidad"/>
        <s v="Datos"/>
        <s v="Gratis"/>
        <s v="Suscripción"/>
        <s v="Mixto"/>
        <s v="Freemium"/>
        <s v="Microtransacción"/>
        <s v="Pago único"/>
        <s v="Donación"/>
        <s v="SaaS"/>
        <s v="Comisión"/>
        <s v="Venta"/>
        <s v="Hardware"/>
        <s v="Créditos"/>
        <s v="Token"/>
        <s v="Gacha"/>
        <s v="Pago/Micro"/>
        <s v="Pago"/>
        <s v="Gratis/Pago"/>
        <s v="Directorio"/>
        <s v="Ads Propio"/>
        <s v="Open Source"/>
        <s v="Shareware"/>
        <m/>
      </sharedItems>
    </cacheField>
    <cacheField name="Uso Diario (min)" numFmtId="0">
      <sharedItems containsString="0" containsBlank="1" containsNumber="1" containsInteger="1">
        <n v="95.0"/>
        <n v="30.0"/>
        <n v="35.0"/>
        <n v="28.0"/>
        <n v="10.0"/>
        <n v="40.0"/>
        <n v="25.0"/>
        <n v="20.0"/>
        <n v="15.0"/>
        <n v="50.0"/>
        <n v="90.0"/>
        <n v="60.0"/>
        <n v="80.0"/>
        <n v="120.0"/>
        <n v="100.0"/>
        <n v="5.0"/>
        <n v="2.0"/>
        <n v="240.0"/>
        <n v="45.0"/>
        <n v="1.0"/>
        <n v="0.0"/>
        <m/>
      </sharedItems>
    </cacheField>
    <cacheField name="Etiqueta Riesgo" numFmtId="0">
      <sharedItems containsBlank="1">
        <s v="Alto (8-10)"/>
        <s v="Medio (5-7)"/>
        <s v="Bajo (1-4)"/>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69" sheet="3 - Matriz"/>
  </cacheSource>
  <cacheFields>
    <cacheField name="Plataforma" numFmtId="0">
      <sharedItems>
        <s v="TikTok"/>
        <s v="Instagram"/>
        <s v="Facebook"/>
        <s v="WhatsApp"/>
        <s v="LinkedIn"/>
        <s v="YouTube"/>
        <s v="Snapchat"/>
        <s v="Twitter (X)"/>
        <s v="Telegram"/>
        <s v="Pinterest"/>
        <s v="Reddit"/>
        <s v="Discord"/>
        <s v="Twitch"/>
        <s v="Netflix"/>
        <s v="Spotify"/>
        <s v="Tinder"/>
        <s v="Bumble"/>
        <s v="Grindr"/>
        <s v="Roblox"/>
        <s v="Fortnite"/>
        <s v="Minecraft"/>
        <s v="Zoom"/>
        <s v="Slack"/>
        <s v="Teams"/>
        <s v="WeChat"/>
        <s v="Douyin"/>
        <s v="Sina Weibo"/>
        <s v="Line"/>
        <s v="KakaoTalk"/>
        <s v="VK (Vkontakte)"/>
        <s v="Signal"/>
        <s v="Google Maps"/>
        <s v="Google Photos"/>
        <s v="Gmail"/>
        <s v="Outlook"/>
        <s v="Dropbox"/>
        <s v="iCloud"/>
        <s v="OnlyFans"/>
        <s v="Pornhub"/>
        <s v="Shein"/>
        <s v="Temu"/>
        <s v="Amazon"/>
        <s v="AliExpress"/>
        <s v="eBay"/>
        <s v="Airbnb"/>
        <s v="Uber"/>
        <s v="Cabify"/>
        <s v="BlaBlaCar"/>
        <s v="Booking"/>
        <s v="TripAdvisor"/>
        <s v="Strava"/>
        <s v="MyFitnessPal"/>
        <s v="Fitbit"/>
        <s v="Flo"/>
        <s v="Duolingo"/>
        <s v="Kahoot"/>
        <s v="ClassDojo"/>
        <s v="ChatGPT"/>
        <s v="Midjourney"/>
        <s v="DALL-E"/>
        <s v="Character.AI"/>
        <s v="Replika"/>
        <s v="Binance"/>
        <s v="Coinbase"/>
        <s v="MetaMask"/>
        <s v="Revolut"/>
        <s v="PayPal"/>
        <s v="Bizum"/>
        <s v="Venmo"/>
        <s v="Cash App"/>
        <s v="Worldcoin"/>
        <s v="Genshin Impact"/>
        <s v="League of Legends"/>
        <s v="Call of Duty"/>
        <s v="Candy Crush"/>
        <s v="Clash Royale"/>
        <s v="Among Us"/>
        <s v="Steam"/>
        <s v="PlayStation Net"/>
        <s v="Xbox Live"/>
        <s v="Nintendo Online"/>
        <s v="BeReal"/>
        <s v="Clubhouse"/>
        <s v="Threads"/>
        <s v="Mastodon"/>
        <s v="Tumblr"/>
        <s v="Flickr"/>
        <s v="Vimeo"/>
        <s v="Dailymotion"/>
        <s v="Rumble"/>
        <s v="Truth Social"/>
        <s v="Parler"/>
        <s v="Bilibili"/>
        <s v="Kuaishou"/>
        <s v="QQ"/>
        <s v="Viber"/>
        <s v="IMO"/>
        <s v="Skype"/>
        <s v="Google Meet"/>
        <s v="Webex"/>
        <s v="Trello"/>
        <s v="Notion"/>
        <s v="Canva"/>
        <s v="Adobe Cloud"/>
        <s v="Figma"/>
        <s v="GitHub"/>
        <s v="GitLab"/>
        <s v="Stack Overflow"/>
        <s v="Coursera"/>
        <s v="Udemy"/>
        <s v="edX"/>
        <s v="Brainly"/>
        <s v="Chegg"/>
        <s v="Wattpad"/>
        <s v="Goodreads"/>
        <s v="Kindle"/>
        <s v="Audible"/>
        <s v="SoundCloud"/>
        <s v="Deezer"/>
        <s v="Apple Music"/>
        <s v="Tidal"/>
        <s v="Shazam"/>
        <s v="Disney+"/>
        <s v="HBO Max"/>
        <s v="Prime Video"/>
        <s v="Hulu"/>
        <s v="Peacock"/>
        <s v="Paramount+"/>
        <s v="Apple TV+"/>
        <s v="Roku"/>
        <s v="Chromecast"/>
        <s v="Fire TV"/>
        <s v="Peloton"/>
        <s v="Garmin"/>
        <s v="Nike Run Club"/>
        <s v="Adidas Running"/>
        <s v="BetterHelp"/>
        <s v="Doctoralia"/>
        <s v="Tinder (Gold)"/>
        <s v="Hinge"/>
        <s v="OkCupid"/>
        <s v="Plenty of Fish"/>
        <s v="Happn"/>
        <s v="Meetic"/>
        <s v="Badoo"/>
        <s v="Ashley Madison"/>
        <s v="Wallapop"/>
        <s v="Vinted"/>
        <s v="Milanuncios"/>
        <s v="Craigslist"/>
        <s v="Idealista"/>
        <s v="Fotocasa"/>
        <s v="Zillow"/>
        <s v="Google Earth"/>
        <s v="Waze"/>
        <s v="Citymapper"/>
        <s v="Google Drive"/>
        <s v="OneDrive"/>
        <s v="Box"/>
        <s v="WeTransfer"/>
        <s v="Mega"/>
        <s v="Tor Browser"/>
        <s v="Brave"/>
        <s v="Opera"/>
        <s v="Firefox"/>
        <s v="Edge"/>
        <s v="Safari"/>
        <s v="DuckDuckGo"/>
        <s v="Bing"/>
        <s v="Yandex"/>
        <s v="Baidu"/>
        <s v="ProtonMail"/>
        <s v="Tutanota"/>
        <s v="LastPass"/>
        <s v="1Password"/>
        <s v="Bitwarden"/>
        <s v="NordVPN"/>
        <s v="ExpressVPN"/>
        <s v="Avast"/>
        <s v="Kaspersky"/>
        <s v="McAfee"/>
        <s v="Norton"/>
        <s v="TeamViewer"/>
        <s v="AnyDesk"/>
        <s v="Salesforce"/>
        <s v="SAP"/>
        <s v="Oracle"/>
        <s v="HubSpot"/>
        <s v="Shopify"/>
        <s v="Wordpress"/>
        <s v="Wix"/>
        <s v="Squarespace"/>
        <s v="Medium"/>
        <s v="Substack"/>
        <s v="Patreon"/>
        <s v="Kickstarter"/>
        <s v="Indiegogo"/>
        <s v="GoFundMe"/>
        <s v="Change.org"/>
        <s v="Eventbrite"/>
        <s v="Ticketmaster"/>
        <s v="LiveNation"/>
        <s v="StubHub"/>
        <s v="OpenTable"/>
        <s v="TheFork"/>
        <s v="Glovo"/>
        <s v="Just Eat"/>
        <s v="Uber Eats"/>
        <s v="Deliveroo"/>
        <s v="Rappi"/>
        <s v="DoorDash"/>
        <s v="Grubhub"/>
        <s v="Instacart"/>
        <s v="TaskRabbit"/>
        <s v="Fiverr"/>
        <s v="Upwork"/>
        <s v="Freelancer"/>
        <s v="Malt"/>
        <s v="InfoJobs"/>
        <s v="Indeed"/>
        <s v="Glassdoor"/>
        <s v="Monster"/>
        <s v="Xing"/>
        <s v="ResearchGate"/>
        <s v="Academia.edu"/>
        <s v="Moodle"/>
        <s v="Blackboard"/>
        <s v="Canvas"/>
        <s v="Google Scholar"/>
        <s v="Zotero"/>
        <s v="Mendeley"/>
        <s v="Overleaf"/>
        <s v="WolframAlpha"/>
        <s v="GeoGebra"/>
        <s v="Desmos"/>
        <s v="Scratch"/>
        <s v="Code.org"/>
        <s v="Codecademy"/>
        <s v="Pluralsight"/>
        <s v="Domestika"/>
        <s v="Crehana"/>
        <s v="Platzi"/>
        <s v="MasterClass"/>
        <s v="TED"/>
        <s v="Khan Academy"/>
        <s v="Wikipedia"/>
        <s v="IMDb"/>
        <s v="Rotten Tomatoes"/>
        <s v="Metacritic"/>
        <s v="Fandom"/>
        <s v="Genius"/>
        <s v="Discogs"/>
        <s v="Bandcamp"/>
        <s v="Last.fm"/>
        <s v="9GAG"/>
        <s v="Imgur"/>
        <s v="Giphy"/>
        <s v="Tenor"/>
        <s v="VLC"/>
        <s v="WinRAR"/>
        <s v="7-Zip"/>
        <s v="OBS Studio"/>
        <s v="Blender"/>
        <s v="Unity"/>
        <s v="Unreal Engine"/>
        <s v="Godot"/>
        <s v="Raspberry Pi"/>
        <s v="Arduino"/>
      </sharedItems>
    </cacheField>
    <cacheField name="Riesgo (1-10)" numFmtId="0">
      <sharedItems containsSemiMixedTypes="0" containsString="0" containsNumber="1" containsInteger="1">
        <n v="9.0"/>
        <n v="8.0"/>
        <n v="10.0"/>
        <n v="5.0"/>
        <n v="3.0"/>
        <n v="6.0"/>
        <n v="7.0"/>
        <n v="4.0"/>
        <n v="2.0"/>
        <n v="1.0"/>
      </sharedItems>
    </cacheField>
    <cacheField name="Riesgo Identificado" numFmtId="0">
      <sharedItems>
        <s v="Privacidad de menores"/>
        <s v="Salud mental (Autoestima)"/>
        <s v="Filtración masiva datos"/>
        <s v="Desinformación viral"/>
        <s v="Phishing laboral"/>
        <s v="Radicalización algoritmo"/>
        <s v="Sextorsión"/>
        <s v="Discurso de odio"/>
        <s v="Contenido ilegal/Estafas"/>
        <s v="Trastornos alimenticios"/>
        <s v="Cámaras de eco"/>
        <s v="Grooming (Acoso menores)"/>
        <s v="Interacción parasocial"/>
        <s v="Sedentarismo"/>
        <s v="Problemas auditivos"/>
        <s v="Catfishing/Estafas"/>
        <s v="Acoso"/>
        <s v="Exposición ubicación"/>
        <s v="Depredadores sexuales"/>
        <s v="Adicción al juego"/>
        <s v="Griefing (Acoso juego)"/>
        <s v="Zoombombing"/>
        <s v="Estrés laboral (Burnout)"/>
        <s v="Vigilancia laboral"/>
        <s v="Vigilancia estatal"/>
        <s v="Adicción extrema"/>
        <s v="Censura política"/>
        <s v="Estafas financieras"/>
        <s v="Ciberacoso escolar"/>
        <s v="Propaganda"/>
        <s v="Uso delictivo (oculto)"/>
        <s v="Rastreo ubicación"/>
        <s v="Reconocimiento facial"/>
        <s v="Spam/Phishing"/>
        <s v="Malware en adjuntos"/>
        <s v="Robo de archivos"/>
        <s v="Filtración fotos privadas"/>
        <s v="Contenido adulto/Estafa"/>
        <s v="Trata de personas"/>
        <s v="Patrones oscuros (Dark Patterns)"/>
        <s v="Spyware/Malware"/>
        <s v="Falsificaciones"/>
        <s v="Estafa producto"/>
        <s v="Fraude en subastas"/>
        <s v="Cámaras ocultas"/>
        <s v="Seguridad física"/>
        <s v="Seguridad datos"/>
        <s v="Seguridad en ruta"/>
        <s v="Overbooking/Estafa"/>
        <s v="Reseñas falsas"/>
        <s v="Revelación ubicación casa"/>
        <s v="Fuga datos salud"/>
        <s v="Privacidad ciclo menstrual"/>
        <s v="Notificaciones intrusivas"/>
        <s v="Nombres ofensivos"/>
        <s v="Privacidad infantil"/>
        <s v="Alucinaciones/Mentiras"/>
        <s v="Derechos de autor"/>
        <s v="Deepfakes"/>
        <s v="Dependencia emocional"/>
        <s v="Erotismo IA/Dependencia"/>
        <s v="Pérdida financiera"/>
        <s v="Phishing bancario"/>
        <s v="Robo de cartera"/>
        <s v="Bloqueo de cuentas"/>
        <s v="Retención fondos"/>
        <s v="Estafa envío dinero"/>
        <s v="Privacidad transacciones"/>
        <s v="Lavado de dinero"/>
        <s v="Biometría iris"/>
        <s v="Ludopatía (Gacha)"/>
        <s v="Toxicidad verbal"/>
        <s v="Violencia/Insultos"/>
        <s v="Adicción patrón oscuro"/>
        <s v="Ludopatía infantil"/>
        <s v="Griefing"/>
        <s v="Estafas de items"/>
        <s v="Acoso voz"/>
        <s v="Limitación comunicación"/>
        <s v="Geolocalización"/>
        <s v="Discurso odio audio"/>
        <s v="Recopilación datos"/>
        <s v="Doxing (en instancias)"/>
        <s v="Comunidades tóxicas"/>
        <s v="Robo propiedad intel."/>
        <s v="Coste oculto"/>
        <s v="Contenido pirata"/>
        <s v="Desinformación"/>
        <s v="Cámara de eco política"/>
        <s v="Extremismo"/>
        <s v="Adicción anime"/>
        <s v="Contenido vulgar"/>
        <s v="Vigilancia"/>
        <s v="Spam"/>
        <s v="Seguridad baja"/>
        <s v="Suplantación identidad"/>
        <s v="Intrusión reuniones"/>
        <s v="Vulnerabilidades"/>
        <s v="Fuga información corp"/>
        <s v="Pérdida de notas"/>
        <s v="Phishing imitaciones"/>
        <s v="Coste abusivo"/>
        <s v="Fuga diseños"/>
        <s v="Malware en repos"/>
        <s v="Fuga código"/>
        <s v="Código inseguro"/>
        <s v="Certificados falsos"/>
        <s v="Calidad cursos baja"/>
        <s v="Ninguno"/>
        <s v="Trampas académicas"/>
        <s v="Plagio académico"/>
        <s v="Fanfiction erótico"/>
        <s v="Reseñas tóxicas"/>
        <s v="DRM (Bloqueo)"/>
        <s v="Coste"/>
        <s v="Bots de música"/>
        <s v="Coste alto"/>
        <s v="Contenido adulto"/>
        <s v="Ads intrusivos"/>
        <s v="Catálogo escaso"/>
        <s v="Rastreo visual TV"/>
        <s v="Fuga rutas GPS"/>
        <s v="Rastreo GPS"/>
        <s v="Venta datos salud"/>
        <s v="Falsas credenciales"/>
        <s v="Coste adictivo"/>
        <s v="Datos íntimos"/>
        <s v="Bots/Spam"/>
        <s v="Acoso por cercanía"/>
        <s v="Perfiles falsos"/>
        <s v="Extorsión"/>
        <s v="Quedadas inseguras"/>
        <s v="Estafa envío"/>
        <s v="Estafas bancarias"/>
        <s v="Delitos físicos"/>
        <s v="Alquiler falso"/>
        <s v="Datos vivienda"/>
        <s v="Privacidad hogar"/>
        <s v="Patrullas policía"/>
        <s v="Rastreo rutas"/>
        <s v="Escaneo contenido"/>
        <s v="Seguridad corp"/>
        <s v="Archivos maliciosos"/>
        <s v="Acceso Dark Web"/>
        <s v="Crypto estafas ads"/>
        <s v="Préstamos dudosos"/>
        <s v="Rastreo agresivo"/>
        <s v="Censura en China"/>
        <s v="Vigilancia rusa"/>
        <s v="Censura estatal"/>
        <s v="Hackeo bóveda"/>
        <s v="Publicidad engañosa"/>
        <s v="Propiedad opaca"/>
        <s v="Venta datos usuario"/>
        <s v="Vínculos Rusia"/>
        <s v="Bloatware"/>
        <s v="Minado crypto"/>
        <s v="Estafas soporte"/>
        <s v="Datos clientes"/>
        <s v="Complejidad"/>
        <s v="Coste licencias"/>
        <s v="Spam marketing"/>
        <s v="Dropshipping malo"/>
        <s v="Plugins inseguros"/>
        <s v="Bloqueo proveedor"/>
        <s v="Newsletter odio"/>
        <s v="Contenido límite"/>
        <s v="Proyectos humo"/>
        <s v="Estafas producto"/>
        <s v="Estafas caridad"/>
        <s v="Venta emails"/>
        <s v="Eventos falsos"/>
        <s v="Precios abusivos"/>
        <s v="Monopolio"/>
        <s v="Reventa especulativa"/>
        <s v="Precariedad laboral"/>
        <s v="Calidad comida"/>
        <s v="Costes ocultos"/>
        <s v="Propina obligada"/>
        <s v="Restaurantes falsos"/>
        <s v="Precios inflados"/>
        <s v="Seguridad hogar"/>
        <s v="Trabajo precario"/>
        <s v="Estafas pago"/>
        <s v="Ofertas falsas"/>
        <s v="Robo currículums"/>
        <s v="Reseñas falsas emp."/>
        <s v="Spam email"/>
        <s v="Copyright papers"/>
        <s v="Paywall ciencia"/>
        <s v="Interfaz hostil"/>
        <s v="Bloqueo Elsevier"/>
        <s v="Chat no moderado"/>
        <s v="Calidad variable"/>
        <s v="Vandalismo leve"/>
        <s v="Spoilers"/>
        <s v="Review bombing"/>
        <s v="Publicidad abusiva"/>
        <s v="Copyright letras"/>
        <s v="Racismo/Sexismo"/>
        <s v="Contenido viral"/>
        <s v="Curva aprendizaje"/>
        <s v="Costes runtime"/>
      </sharedItems>
    </cacheField>
    <cacheField name="Usuarios (M)" numFmtId="0">
      <sharedItems containsSemiMixedTypes="0" containsString="0" containsNumber="1" containsInteger="1">
        <n v="1200.0"/>
        <n v="2000.0"/>
        <n v="2900.0"/>
        <n v="800.0"/>
        <n v="2500.0"/>
        <n v="750.0"/>
        <n v="550.0"/>
        <n v="460.0"/>
        <n v="500.0"/>
        <n v="150.0"/>
        <n v="140.0"/>
        <n v="230.0"/>
        <n v="75.0"/>
        <n v="50.0"/>
        <n v="13.0"/>
        <n v="200.0"/>
        <n v="400.0"/>
        <n v="300.0"/>
        <n v="20.0"/>
        <n v="280.0"/>
        <n v="1300.0"/>
        <n v="700.0"/>
        <n v="580.0"/>
        <n v="190.0"/>
        <n v="100.0"/>
        <n v="1000.0"/>
        <n v="1800.0"/>
        <n v="850.0"/>
        <n v="180.0"/>
        <n v="120.0"/>
        <n v="130.0"/>
        <n v="5.0"/>
        <n v="90.0"/>
        <n v="30.0"/>
        <n v="15.0"/>
        <n v="10.0"/>
        <n v="80.0"/>
        <n v="3.0"/>
        <n v="65.0"/>
        <n v="250.0"/>
        <n v="110.0"/>
        <n v="36.0"/>
        <n v="135.0"/>
        <n v="60.0"/>
        <n v="260.0"/>
        <n v="2.0"/>
        <n v="1.0"/>
        <n v="600.0"/>
        <n v="4.0"/>
        <n v="40.0"/>
        <n v="350.0"/>
        <n v="8.0"/>
        <n v="175.0"/>
        <n v="16.0"/>
        <n v="48.0"/>
        <n v="25.0"/>
        <n v="70.0"/>
        <n v="6.0"/>
        <n v="7.0"/>
      </sharedItems>
    </cacheField>
    <cacheField name="Categoría" numFmtId="0">
      <sharedItems>
        <s v="Vídeo"/>
        <s v="Imagen"/>
        <s v="Red Social"/>
        <s v="Mensajería"/>
        <s v="Profesional"/>
        <s v="Microblogging"/>
        <s v="Foro"/>
        <s v="Chat/Voz"/>
        <s v="Streaming"/>
        <s v="Música"/>
        <s v="Citas"/>
        <s v="Juegos"/>
        <s v="Productividad"/>
        <s v="SuperApp"/>
        <s v="Utilidad"/>
        <s v="Email"/>
        <s v="Nube"/>
        <s v="Adultos"/>
        <s v="E-commerce"/>
        <s v="Viajes"/>
        <s v="Transporte"/>
        <s v="Fitness"/>
        <s v="Salud"/>
        <s v="Educación"/>
        <s v="IA Gen"/>
        <s v="IA Arte"/>
        <s v="IA Chat"/>
        <s v="Cripto"/>
        <s v="Fintech"/>
        <s v="Identidad"/>
        <s v="Gaming"/>
        <s v="Audio"/>
        <s v="Diseño"/>
        <s v="Desarrollo"/>
        <s v="Lectura"/>
        <s v="Hardware"/>
        <s v="Segunda Mano"/>
        <s v="Inmobiliaria"/>
        <s v="Navegador"/>
        <s v="Buscador"/>
        <s v="Seguridad"/>
        <s v="Empresa"/>
        <s v="Web"/>
        <s v="Blog"/>
        <s v="Mecenazgo"/>
        <s v="Crowdfunding"/>
        <s v="Activismo"/>
        <s v="Eventos"/>
        <s v="Reservas"/>
        <s v="Delivery"/>
        <s v="Servicios"/>
        <s v="Freelance"/>
        <s v="Empleo"/>
        <s v="Ciencia"/>
        <s v="Cine"/>
        <s v="Wiki"/>
        <s v="Humor"/>
        <s v="Software"/>
      </sharedItems>
    </cacheField>
    <cacheField name="Edad Mín.">
      <sharedItems containsMixedTypes="1" containsNumber="1" containsInteger="1">
        <n v="13.0"/>
        <n v="16.0"/>
        <n v="18.0"/>
        <n v="10.0"/>
        <n v="5.0"/>
        <n v="17.0"/>
        <n v="8.0"/>
        <n v="6.0"/>
        <s v="N/A"/>
      </sharedItems>
    </cacheField>
    <cacheField name="Sede" numFmtId="0">
      <sharedItems>
        <s v="China"/>
        <s v="EE.UU."/>
        <s v="EAU"/>
        <s v="Suecia"/>
        <s v="Japón"/>
        <s v="Corea Sur"/>
        <s v="Rusia"/>
        <s v="R.Unido"/>
        <s v="Canadá"/>
        <s v="España"/>
        <s v="Francia"/>
        <s v="P.Bajos"/>
        <s v="Noruega"/>
        <s v="Malta"/>
        <s v="Finlandia"/>
        <s v="Alemania"/>
        <s v="Australia"/>
        <s v="Polonia"/>
        <s v="Lituania"/>
        <s v="Israel"/>
        <s v="N.Zelanda"/>
        <s v="Suiza"/>
        <s v="Panamá"/>
        <s v="I.Vírgenes"/>
        <s v="R.Checa"/>
        <s v="Colombia"/>
        <s v="Austria"/>
        <s v="Perú"/>
        <s v="Hong Kong"/>
        <s v="Argentina"/>
        <s v="Italia"/>
      </sharedItems>
    </cacheField>
    <cacheField name="Modelo" numFmtId="0">
      <sharedItems>
        <s v="Publicidad"/>
        <s v="Datos"/>
        <s v="Gratis"/>
        <s v="Suscripción"/>
        <s v="Mixto"/>
        <s v="Freemium"/>
        <s v="Microtransacción"/>
        <s v="Pago único"/>
        <s v="Donación"/>
        <s v="SaaS"/>
        <s v="Comisión"/>
        <s v="Venta"/>
        <s v="Hardware"/>
        <s v="Créditos"/>
        <s v="Token"/>
        <s v="Gacha"/>
        <s v="Pago/Micro"/>
        <s v="Pago"/>
        <s v="Gratis/Pago"/>
        <s v="Directorio"/>
        <s v="Ads Propio"/>
        <s v="Open Source"/>
        <s v="Shareware"/>
      </sharedItems>
    </cacheField>
    <cacheField name="Uso Diario (min)" numFmtId="0">
      <sharedItems containsSemiMixedTypes="0" containsString="0" containsNumber="1" containsInteger="1">
        <n v="95.0"/>
        <n v="30.0"/>
        <n v="35.0"/>
        <n v="28.0"/>
        <n v="10.0"/>
        <n v="40.0"/>
        <n v="25.0"/>
        <n v="20.0"/>
        <n v="15.0"/>
        <n v="50.0"/>
        <n v="90.0"/>
        <n v="60.0"/>
        <n v="80.0"/>
        <n v="120.0"/>
        <n v="100.0"/>
        <n v="5.0"/>
        <n v="2.0"/>
        <n v="240.0"/>
        <n v="45.0"/>
        <n v="1.0"/>
        <n v="0.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9" sheet="1 - Pioneros"/>
  </cacheSource>
  <cacheFields>
    <cacheField name="Año" numFmtId="0">
      <sharedItems containsSemiMixedTypes="0" containsString="0" containsNumber="1" containsInteger="1">
        <n v="1614.0"/>
        <n v="1623.0"/>
        <n v="1642.0"/>
        <n v="1673.0"/>
        <n v="1801.0"/>
        <n v="1820.0"/>
        <n v="1822.0"/>
        <n v="1837.0"/>
        <n v="1843.0"/>
        <n v="1844.0"/>
        <n v="1854.0"/>
        <n v="1876.0"/>
        <n v="1890.0"/>
        <n v="1896.0"/>
        <n v="1904.0"/>
        <n v="1936.0"/>
        <n v="1937.0"/>
        <n v="1938.0"/>
        <n v="1941.0"/>
        <n v="1942.0"/>
        <n v="1943.0"/>
        <n v="1944.0"/>
        <n v="1945.0"/>
        <n v="1947.0"/>
        <n v="1948.0"/>
        <n v="1949.0"/>
        <n v="1950.0"/>
        <n v="1951.0"/>
        <n v="1952.0"/>
        <n v="1953.0"/>
        <n v="1954.0"/>
        <n v="1956.0"/>
        <n v="1957.0"/>
        <n v="1958.0"/>
        <n v="1959.0"/>
        <n v="1960.0"/>
        <n v="1961.0"/>
        <n v="1962.0"/>
        <n v="1963.0"/>
        <n v="1964.0"/>
        <n v="1965.0"/>
        <n v="1966.0"/>
        <n v="1968.0"/>
        <n v="1969.0"/>
        <n v="1970.0"/>
        <n v="1971.0"/>
        <n v="1972.0"/>
        <n v="1973.0"/>
        <n v="1974.0"/>
        <n v="1975.0"/>
        <n v="1976.0"/>
        <n v="1977.0"/>
        <n v="1978.0"/>
        <n v="1979.0"/>
        <n v="1980.0"/>
        <n v="1981.0"/>
        <n v="1982.0"/>
        <n v="1983.0"/>
        <n v="1984.0"/>
        <n v="1985.0"/>
        <n v="1986.0"/>
        <n v="1987.0"/>
        <n v="1989.0"/>
        <n v="1990.0"/>
        <n v="1991.0"/>
        <n v="1992.0"/>
        <n v="1993.0"/>
        <n v="1994.0"/>
        <n v="1995.0"/>
        <n v="1996.0"/>
        <n v="1997.0"/>
        <n v="1998.0"/>
        <n v="1999.0"/>
        <n v="2000.0"/>
        <n v="2001.0"/>
        <n v="2003.0"/>
        <n v="2004.0"/>
        <n v="2005.0"/>
        <n v="2006.0"/>
        <n v="2007.0"/>
        <n v="2008.0"/>
        <n v="2009.0"/>
        <n v="2010.0"/>
        <n v="2011.0"/>
        <n v="2012.0"/>
        <n v="2013.0"/>
        <n v="2014.0"/>
        <n v="2015.0"/>
        <n v="2016.0"/>
        <n v="2017.0"/>
        <n v="2018.0"/>
        <n v="2019.0"/>
        <n v="2020.0"/>
        <n v="2021.0"/>
        <n v="2022.0"/>
        <n v="2023.0"/>
        <n v="2024.0"/>
        <n v="2025.0"/>
      </sharedItems>
      <fieldGroup base="0">
        <rangePr autoStart="0" autoEnd="0" endNum="2000.0" groupInterval="2000.0"/>
        <groupItems>
          <s v="&lt;0.0"/>
          <s v="0 - 2000"/>
          <s v="&gt; 2000"/>
        </groupItems>
      </fieldGroup>
    </cacheField>
    <cacheField name="Hito Tecnológico" numFmtId="0">
      <sharedItems>
        <s v="Logaritmos"/>
        <s v="Reloj Calculante"/>
        <s v="Pascalina"/>
        <s v="Stepped Reckoner"/>
        <s v="Telar de Jacquard"/>
        <s v="Aritmómetro"/>
        <s v="Máquina Diferencial"/>
        <s v="Máquina Analítica"/>
        <s v="Primer Algoritmo"/>
        <s v="Telégrafo"/>
        <s v="Álgebra de Boole"/>
        <s v="Teléfono"/>
        <s v="Máquina Tabuladora"/>
        <s v="Fundación IBM (CTR)"/>
        <s v="Válvula de Vacío (Diodo)"/>
        <s v="Máquina de Turing"/>
        <s v="Tesis Digital"/>
        <s v="Z1"/>
        <s v="Z3"/>
        <s v="ABC"/>
        <s v="Colossus"/>
        <s v="ENIAC"/>
        <s v="Mark I"/>
        <s v="Arquitectura Von Neumann"/>
        <s v="Memex (Concepto)"/>
        <s v="Transistor"/>
        <s v="Teoría de la Información"/>
        <s v="Manchester Baby"/>
        <s v="EDSAC"/>
        <s v="Test de Turing"/>
        <s v="UNIVAC I"/>
        <s v="LEO I"/>
        <s v="Compilador A-0"/>
        <s v="IBM 701"/>
        <s v="Silicon Transistor"/>
        <s v="Disco Duro (RAMAC)"/>
        <s v="Inteligencia Artificial"/>
        <s v="FORTRAN"/>
        <s v="Sputnik 1"/>
        <s v="Circuito Integrado (Chip)"/>
        <s v="LISP"/>
        <s v="COBOL"/>
        <s v="IBM 1401"/>
        <s v="Packet Switching"/>
        <s v="Robot Industrial"/>
        <s v="Spacewar!"/>
        <s v="Sketchpad"/>
        <s v="Mouse (Prototipo)"/>
        <s v="IBM System/360"/>
        <s v="BASIC"/>
        <s v="Ley de Moore"/>
        <s v="Hipertexto"/>
        <s v="ELIZA"/>
        <s v="La Madre de todas las Demos"/>
        <s v="ARPANET"/>
        <s v="UNIX"/>
        <s v="CCD"/>
        <s v="Bases de Datos Relacionales"/>
        <s v="Fibra Óptica"/>
        <s v="Intel 4004"/>
        <s v="Email"/>
        <s v="Disquete (Floppy)"/>
        <s v="Lenguaje C"/>
        <s v="Pong"/>
        <s v="Magnavox Odyssey"/>
        <s v="Ethernet"/>
        <s v="Xerox Alto"/>
        <s v="Teléfono Móvil"/>
        <s v="TCP/IP (Diseño)"/>
        <s v="Altair 8800"/>
        <s v="Microsoft"/>
        <s v="Apple I"/>
        <s v="Cray-1"/>
        <s v="Apple II"/>
        <s v="Commodore PET"/>
        <s v="TRS-80"/>
        <s v="Atari 2600"/>
        <s v="Intel 8086"/>
        <s v="VisiCalc"/>
        <s v="Walkman"/>
        <s v="Pac-Man"/>
        <s v="Disco Duro 5.25"/>
        <s v="IBM PC (5150)"/>
        <s v="MS-DOS"/>
        <s v="Osborne 1"/>
        <s v="Commodore 64"/>
        <s v="Compact Disc (CD)"/>
        <s v="Protocolo SMTP"/>
        <s v="Internet (Nace)"/>
        <s v="C++"/>
        <s v="Motorola DynaTAC"/>
        <s v="Nintendo NES"/>
        <s v="Macintosh"/>
        <s v="Memoria Flash"/>
        <s v="DNS"/>
        <s v="Windows 1.0"/>
        <s v="CD-ROM"/>
        <s v="ARM (Arquitectura)"/>
        <s v="SQL (Estándar)"/>
        <s v="Perl"/>
        <s v="Game Boy"/>
        <s v="World Wide Web"/>
        <s v="Photoshop"/>
        <s v="Windows 3.0"/>
        <s v="Linux Kernel"/>
        <s v="Python"/>
        <s v="GSM (2G)"/>
        <s v="SMS"/>
        <s v="Mosaic"/>
        <s v="Pentium"/>
        <s v="PDF"/>
        <s v="Netscape Navigator"/>
        <s v="Amazon"/>
        <s v="PHP"/>
        <s v="Windows 95"/>
        <s v="Java"/>
        <s v="DVD"/>
        <s v="eBay"/>
        <s v="Hotmail"/>
        <s v="Deep Blue"/>
        <s v="USB 1.0"/>
        <s v="Wi-Fi (802.11)"/>
        <s v="Google Search"/>
        <s v="iMac"/>
        <s v="Mozilla"/>
        <s v="Nvidia GeForce 256"/>
        <s v="Napster"/>
        <s v="Bluetooth 1.0"/>
        <s v="PlayStation 2"/>
        <s v="USB Flash Drive"/>
        <s v="C# (C Sharp)"/>
        <s v="Wikipedia"/>
        <s v="Mac OS X"/>
        <s v="iPod"/>
        <s v="Windows XP"/>
        <s v="Skype"/>
        <s v="WordPress"/>
        <s v="Facebook"/>
        <s v="Firefox 1.0"/>
        <s v="Ubuntu"/>
        <s v="YouTube"/>
        <s v="Google Maps"/>
        <s v="Git"/>
        <s v="AWS (Cloud)"/>
        <s v="Twitter"/>
        <s v="iPhone"/>
        <s v="Kindle"/>
        <s v="Android"/>
        <s v="App Store"/>
        <s v="Blockchain (Bitcoin)"/>
        <s v="Spotify"/>
        <s v="Chrome"/>
        <s v="Node.js"/>
        <s v="WhatsApp"/>
        <s v="iPad"/>
        <s v="Instagram"/>
        <s v="Siri (Adquisición)"/>
        <s v="Minecraft (Oficial)"/>
        <s v="Zoom"/>
        <s v="Raspberry Pi"/>
        <s v="AlexNet"/>
        <s v="CRISPR-Cas9"/>
        <s v="Tesla Model S"/>
        <s v="Docker"/>
        <s v="PlayStation 4"/>
        <s v="HTML5 (Final)"/>
        <s v="Amazon Echo (Alexa)"/>
        <s v="Ethereum"/>
        <s v="OpenAI"/>
        <s v="Windows 10"/>
        <s v="USB-C"/>
        <s v="AlphaGo"/>
        <s v="AirPods"/>
        <s v="TikTok (Douyin)"/>
        <s v="Transformer"/>
        <s v="Nintendo Switch"/>
        <s v="Fortnite"/>
        <s v="BERT"/>
        <s v="Computación Cuántica"/>
        <s v="5G (Despliegue)"/>
        <s v="Starlink"/>
        <s v="GPT-3"/>
        <s v="Apple M1"/>
        <s v="Vacunas ARNm"/>
        <s v="DALL-E"/>
        <s v="GitHub Copilot"/>
        <s v="NFT Boom"/>
        <s v="Metaverso (Rebrand)"/>
        <s v="Midjourney"/>
        <s v="Stable Diffusion"/>
        <s v="Frontier"/>
        <s v="ChatGPT"/>
        <s v="GPT-4"/>
        <s v="Llama 2"/>
        <s v="Vision Pro (Anuncio)"/>
        <s v="Gemini"/>
        <s v="Nvidia H100"/>
        <s v="Sora"/>
        <s v="Neuralink (Telepathy)"/>
        <s v="Copilot PC"/>
        <s v="Groq"/>
        <s v="Devin"/>
        <s v="Claude 3"/>
        <s v="Rabbit R1"/>
        <s v="Agentes Autónomos"/>
        <s v="Fusión Nuclear (Hito)"/>
        <s v="Computación Óptica"/>
        <s v="6G (Estándar)"/>
      </sharedItems>
    </cacheField>
    <cacheField name="Figura/Componente" numFmtId="0">
      <sharedItems>
        <s v="John Napier"/>
        <s v="Wilhelm Schickard"/>
        <s v="Blaise Pascal"/>
        <s v="Gottfried Leibniz"/>
        <s v="Joseph Marie Jacquard"/>
        <s v="Thomas de Colmar"/>
        <s v="Charles Babbage"/>
        <s v="Ada Lovelace"/>
        <s v="Samuel Morse"/>
        <s v="George Boole"/>
        <s v="Alexander Graham Bell"/>
        <s v="Herman Hollerith"/>
        <s v="John Fleming"/>
        <s v="Alan Turing"/>
        <s v="Claude Shannon"/>
        <s v="Konrad Zuse"/>
        <s v="Atanasoff/Berry"/>
        <s v="Tommy Flowers"/>
        <s v="Eckert/Mauchly"/>
        <s v="Howard Aiken/IBM"/>
        <s v="John von Neumann"/>
        <s v="Vannevar Bush"/>
        <s v="Bardeen/Brattain/Shockley"/>
        <s v="Williams/Kilburn"/>
        <s v="Maurice Wilkes"/>
        <s v="J. Lyons &amp; Co."/>
        <s v="Grace Hopper"/>
        <s v="IBM"/>
        <s v="Texas Instruments"/>
        <s v="Dartmouth Conf."/>
        <s v="John Backus"/>
        <s v="URSS"/>
        <s v="Jack Kilby"/>
        <s v="John McCarthy"/>
        <s v="Grace Hopper/DoD"/>
        <s v="Paul Baran"/>
        <s v="Unimate"/>
        <s v="Steve Russell"/>
        <s v="Ivan Sutherland"/>
        <s v="Douglas Engelbart"/>
        <s v="Kemeny/Kurtz"/>
        <s v="Gordon Moore"/>
        <s v="Ted Nelson"/>
        <s v="Joseph Weizenbaum"/>
        <s v="DoD / BBN"/>
        <s v="Thompson/Ritchie"/>
        <s v="Bell Labs"/>
        <s v="Edgar Codd"/>
        <s v="Corning"/>
        <s v="Ted Hoff/Intel"/>
        <s v="Ray Tomlinson"/>
        <s v="Dennis Ritchie"/>
        <s v="Atari"/>
        <s v="Ralph Baer"/>
        <s v="Robert Metcalfe"/>
        <s v="Xerox PARC"/>
        <s v="Martin Cooper (Motorola)"/>
        <s v="Cerf/Kahn"/>
        <s v="MITS"/>
        <s v="Gates/Allen"/>
        <s v="Wozniak/Jobs"/>
        <s v="Seymour Cray"/>
        <s v="Apple"/>
        <s v="Commodore"/>
        <s v="Tandy"/>
        <s v="Intel"/>
        <s v="Dan Bricklin"/>
        <s v="Sony"/>
        <s v="Namco"/>
        <s v="Seagate"/>
        <s v="Microsoft"/>
        <s v="Adam Osborne"/>
        <s v="Sony/Philips"/>
        <s v="Postel"/>
        <s v="ARPANET"/>
        <s v="Bjarne Stroustrup"/>
        <s v="Motorola"/>
        <s v="Nintendo"/>
        <s v="Fujio Masuoka (Toshiba)"/>
        <s v="Paul Mockapetris"/>
        <s v="Acorn Computers"/>
        <s v="ANSI"/>
        <s v="Larry Wall"/>
        <s v="Tim Berners-Lee"/>
        <s v="Adobe"/>
        <s v="Linus Torvalds"/>
        <s v="Guido van Rossum"/>
        <s v="ETSI"/>
        <s v="Neil Papworth"/>
        <s v="NCSA"/>
        <s v="Netscape"/>
        <s v="Jeff Bezos"/>
        <s v="Rasmus Lerdorf"/>
        <s v="Sun Microsystems"/>
        <s v="Consorcio"/>
        <s v="Pierre Omidyar"/>
        <s v="Sabeer Bhatia"/>
        <s v="Intel/MS/etc"/>
        <s v="IEEE"/>
        <s v="Page y Brin"/>
        <s v="Nvidia"/>
        <s v="Shawn Fanning"/>
        <s v="Ericsson"/>
        <s v="Trek/IBM"/>
        <s v="Jimmy Wales"/>
        <s v="Zennstrom/Friis"/>
        <s v="Mullenweg"/>
        <s v="Zuckerberg"/>
        <s v="Mozilla"/>
        <s v="Canonical"/>
        <s v="Hurley/Chen/Karim"/>
        <s v="Google"/>
        <s v="Amazon"/>
        <s v="Jack Dorsey"/>
        <s v="Satoshi Nakamoto"/>
        <s v="Daniel Ek"/>
        <s v="Ryan Dahl"/>
        <s v="Koum/Acton"/>
        <s v="Systrom/Krieger"/>
        <s v="Mojang"/>
        <s v="Eric Yuan"/>
        <s v="Eben Upton"/>
        <s v="Hinton/Krizhevsky"/>
        <s v="Doudna/Charpentier"/>
        <s v="Tesla"/>
        <s v="Solomon Hykes"/>
        <s v="W3C"/>
        <s v="Vitalik Buterin"/>
        <s v="Musk/Altman"/>
        <s v="USB-IF"/>
        <s v="DeepMind"/>
        <s v="ByteDance"/>
        <s v="Google Brain"/>
        <s v="Epic Games"/>
        <s v="Google (Sycamore)"/>
        <s v="Varios"/>
        <s v="SpaceX"/>
        <s v="OpenAI"/>
        <s v="BioNTech/Moderna"/>
        <s v="GitHub"/>
        <s v="Meta"/>
        <s v="David Holz"/>
        <s v="Stability AI"/>
        <s v="Oak Ridge"/>
        <s v="Elon Musk"/>
        <s v="Groq Inc."/>
        <s v="Cognition"/>
        <s v="Anthropic"/>
        <s v="Rabbit"/>
        <s v="ITER/NIF"/>
        <s v="ITU"/>
      </sharedItems>
    </cacheField>
    <cacheField name="Impacto Breve" numFmtId="0">
      <sharedItems>
        <s v="Base matemática para el cálculo"/>
        <s v="Primera máquina de calcular (diseño)"/>
        <s v="Primera calculadora mecánica funcional"/>
        <s v="Calculadora que multiplicaba"/>
        <s v="Uso de tarjetas perforadas"/>
        <s v="Primera calculadora comercial fiable"/>
        <s v="Cálculo de tablas polinómicas"/>
        <s v="Diseño de computador de propósito general"/>
        <s v="Primer programa de la historia"/>
        <s v="Comunicación a larga distancia"/>
        <s v="Lógica binaria fundamental"/>
        <s v="Transmisión de voz"/>
        <s v="Procesamiento datos censo (Tarjetas)"/>
        <s v="Nace el gigante de la computación"/>
        <s v="Control del flujo eléctrico"/>
        <s v="Modelo matemático de la computación"/>
        <s v="Circuitos digitales y booleano"/>
        <s v="Primera computadora binaria programable"/>
        <s v="Primera máquina Turing-completa"/>
        <s v="Primer computador digital electrónico"/>
        <s v="Descifrado de códigos nazis"/>
        <s v="Primer ordenador electrónico general"/>
        <s v="Computador electromecánico gigante"/>
        <s v="Estructura CPU+Memoria unificada"/>
        <s v="Precursor del hipertexto"/>
        <s v="Reemplazo de válvulas (Miniaturización)"/>
        <s v="Matemática de la comunicación digital"/>
        <s v="Primer programa almacenado ejecutado"/>
        <s v="Ordenador práctico con programa"/>
        <s v="Criterio de inteligencia artificial"/>
        <s v="Primer ordenador comercial EE.UU."/>
        <s v="Primer ordenador para negocios"/>
        <s v="Primer compilador software"/>
        <s v="Primera computadora científica IBM"/>
        <s v="Transistores comerciales de silicio"/>
        <s v="Primer almacenamiento magnético rotatorio"/>
        <s v="Nacimiento del campo IA"/>
        <s v="Primer lenguaje alto nivel popular"/>
        <s v="Inicio carrera espacial y telecom satélite"/>
        <s v="Varios componentes en una pieza"/>
        <s v="Lenguaje para IA (listas)"/>
        <s v="Lenguaje estándar negocios"/>
        <s v="Ordenador empresarial masivo"/>
        <s v="Base de redes robustas"/>
        <s v="Automatización de fábricas"/>
        <s v="Primer videojuego de ordenador"/>
        <s v="Primera GUI y CAD"/>
        <s v="Interfaz humano-máquina"/>
        <s v="Familia compatible de ordenadores"/>
        <s v="Programación para estudiantes"/>
        <s v="Predicción escalado chips"/>
        <s v="Concepto de enlaces digitales"/>
        <s v="Primer chatbot (psicoterapeuta)"/>
        <s v="Demo de Mouse/GUI/Videollamada"/>
        <s v="Precursor de Internet (4 nodos)"/>
        <s v="Sistema operativo portable"/>
        <s v="Base de la fotografía digital"/>
        <s v="Modelo SQL y tablas"/>
        <s v="Transmisión datos luz"/>
        <s v="Primer microprocesador comercial"/>
        <s v="Correo en red (@)"/>
        <s v="Almacenamiento portátil"/>
        <s v="Base sistemas modernos"/>
        <s v="Nacimiento industria arcade"/>
        <s v="Primera consola doméstica"/>
        <s v="Redes de área local (LAN)"/>
        <s v="Primer PC con GUI y Mouse"/>
        <s v="Primera llamada celular"/>
        <s v="Protocolo de Internet"/>
        <s v="Inicio revolución microordenador"/>
        <s v="Fundación empresa software"/>
        <s v="Ordenador personal hobby"/>
        <s v="Supercomputadora vectorial ícono"/>
        <s v="PC color masivo éxito"/>
        <s v="PC todo en uno"/>
        <s v="PC accesible masivo"/>
        <s v="Consola cartuchos intercambiables"/>
        <s v="Inicio arquitectura x86"/>
        <s v="Primera hoja cálculo (Killer App)"/>
        <s v="Música portátil personal"/>
        <s v="Fenómeno cultural videojuegos"/>
        <s v="Almacenamiento PC (5MB)"/>
        <s v="Estándar industria PC"/>
        <s v="SO para IBM PC"/>
        <s v="Primer ordenador &quot;portátil&quot;"/>
        <s v="PC más vendido historia"/>
        <s v="Audio digital óptico"/>
        <s v="Estándar email"/>
        <s v="Migración a TCP/IP"/>
        <s v="C con clases"/>
        <s v="Primer móvil comercial"/>
        <s v="Rescate industria videojuegos"/>
        <s v="GUI para las masas"/>
        <s v="Almacenamiento no volátil"/>
        <s v="Nombres de dominio"/>
        <s v="GUI para DOS"/>
        <s v="Datos en disco óptico"/>
        <s v="Base de chips móviles futuros"/>
        <s v="Lenguaje bases de datos"/>
        <s v="Lenguaje scripting web"/>
        <s v="Videojuego portátil masivo"/>
        <s v="Propuesta de la Web"/>
        <s v="Edición imagen digital"/>
        <s v="Éxito masivo de Windows"/>
        <s v="SO Open Source"/>
        <s v="Lenguaje multipropósito"/>
        <s v="Estándar móvil digital"/>
        <s v="Mensajería texto móvil"/>
        <s v="Primer navegador gráfico popular"/>
        <s v="Marca dominante CPUs"/>
        <s v="Documento digital portable"/>
        <s v="Popularización de la Web"/>
        <s v="Inicio e-commerce"/>
        <s v="Lenguaje lado servidor web"/>
        <s v="Inicio y barra tareas"/>
        <s v="Lenguaje multiplataforma"/>
        <s v="Video digital alta capacidad"/>
        <s v="Subastas online"/>
        <s v="Webmail gratuito"/>
        <s v="IA gana a Kasparov (Ajedrez)"/>
        <s v="Puerto universal"/>
        <s v="Internet inalámbrico"/>
        <s v="Motor búsqueda moderno"/>
        <s v="Diseño y USB por defecto"/>
        <s v="Código abierto navegador"/>
        <s v="Primera GPU moderna"/>
        <s v="P2P música"/>
        <s v="Conexión corto alcance"/>
        <s v="Consola más vendida historia"/>
        <s v="Adiós al disquete"/>
        <s v="Lenguaje plataforma .NET"/>
        <s v="Conocimiento colaborativo"/>
        <s v="Unix para usuarios finales"/>
        <s v="Música digital masiva"/>
        <s v="Estabilidad NT en hogar"/>
        <s v="VoIP masivo"/>
        <s v="Democratización CMS web"/>
        <s v="Red social hegemónica"/>
        <s v="Alternativa a IE"/>
        <s v="Linux para humanos"/>
        <s v="Video online masivo"/>
        <s v="Mapas digitales dinámicos"/>
        <s v="Control de versiones moderno"/>
        <s v="Infraestructura como servicio"/>
        <s v="Microblogging"/>
        <s v="Smartphone moderno multitouch"/>
        <s v="Lectura digital masiva"/>
        <s v="SO móvil abierto"/>
        <s v="Modelo negocio apps"/>
        <s v="Criptomoneda y DLT"/>
        <s v="Streaming música legal"/>
        <s v="Navegador rápido V8"/>
        <s v="JavaScript en servidor"/>
        <s v="Mensajería móvil global"/>
        <s v="Era Post-PC (Tablet)"/>
        <s v="Red social visual"/>
        <s v="Asistente voz móvil"/>
        <s v="Fenómeno creativo juegos"/>
        <s v="Videoconferencia moderna"/>
        <s v="PC educativo $35"/>
        <s v="Deep Learning visión"/>
        <s v="Edición genética programable"/>
        <s v="Coche eléctrico conectado"/>
        <s v="Contenedores software"/>
        <s v="Consola social compartida"/>
        <s v="Web semántica estándar"/>
        <s v="Altavoz inteligente"/>
        <s v="Smart Contracts"/>
        <s v="Fundación lab IA"/>
        <s v="SO como servicio"/>
        <s v="Conector reversible universal"/>
        <s v="IA vence en Go"/>
        <s v="Audio inalámbrico TWS"/>
        <s v="Algoritmo video corto"/>
        <s v="Arquitectura base LLMs"/>
        <s v="Consola híbrida"/>
        <s v="Metaverso social temprano"/>
        <s v="NLP bidireccional"/>
        <s v="Supremacía cuántica (demo)"/>
        <s v="Red móvil alta velocidad"/>
        <s v="Internet satelital baja latencia"/>
        <s v="LLM Generativo potente"/>
        <s v="ARM en escritorio (Silicon)"/>
        <s v="Bioinformática aplicada"/>
        <s v="Texto a Imagen"/>
        <s v="Programación asistida IA"/>
        <s v="Arte digital tokenizado"/>
        <s v="Apuesta por VR/AR"/>
        <s v="Arte generativo calidad"/>
        <s v="IA Generativa Open Source"/>
        <s v="Supercomputadora Exascale"/>
        <s v="Chatbot IA masivo"/>
        <s v="Modelo multimodal avanzado"/>
        <s v="LLM Open Source potente"/>
        <s v="Computación espacial"/>
        <s v="Modelo nativo multimodal"/>
        <s v="Chip estándar para IA"/>
        <s v="Video generativo realista"/>
        <s v="Implante cerebral humano"/>
        <s v="Integración IA en OS"/>
        <s v="Inferencia IA ultra-rápida (LPU)"/>
        <s v="Ingeniero software IA autónomo"/>
        <s v="Modelo IA contexto largo"/>
        <s v="Dispositivo post-app (IA)"/>
        <s v="IA que ejecuta acciones"/>
        <s v="Avance energía limpia (Simulación)"/>
        <s v="Procesadores de luz"/>
        <s v="Definición nueva red"/>
      </sharedItems>
    </cacheField>
    <cacheField name="Siglo" numFmtId="0">
      <sharedItems>
        <s v="XVII"/>
        <s v="XIX"/>
        <s v="XX"/>
        <s v="XXI"/>
      </sharedItems>
    </cacheField>
    <cacheField name="Tipo" numFmtId="0">
      <sharedItems>
        <s v="Teórica"/>
        <s v="Mecánica"/>
        <s v="Telecom"/>
        <s v="Electromecánica"/>
        <s v="Empresa"/>
        <s v="Electrónica"/>
        <s v="IA"/>
        <s v="Software"/>
        <s v="Hardware"/>
        <s v="Digital"/>
        <s v="Redes"/>
        <s v="Robótica"/>
        <s v="Periférico"/>
        <s v="Evento"/>
        <s v="Internet"/>
        <s v="Bio"/>
        <s v="Transporte"/>
        <s v="Cuántica"/>
        <s v="Concepto"/>
        <s v="Física"/>
      </sharedItems>
    </cacheField>
    <cacheField name="País" numFmtId="0">
      <sharedItems>
        <s v="Escocia"/>
        <s v="Alemania"/>
        <s v="Francia"/>
        <s v="Reino Unido"/>
        <s v="EE.UU."/>
        <s v="URSS"/>
        <s v="Japón"/>
        <s v="Japón/P.Bajos"/>
        <s v="Suiza (CERN)"/>
        <s v="Finlandia"/>
        <s v="P.Bajos"/>
        <s v="Europa"/>
        <s v="Canadá"/>
        <s v="Global"/>
        <s v="Suecia"/>
        <s v="Israel/Singapur"/>
        <s v="Estonia"/>
        <s v="Sudáfrica/UK"/>
        <s v="China"/>
        <s v="Alemania/EE.UU."/>
      </sharedItems>
    </cacheField>
    <cacheField name="Generación" numFmtId="0">
      <sharedItems>
        <s v="Pre-Gen"/>
        <s v="1ª"/>
        <s v="2ª"/>
        <s v="Teórica"/>
        <s v="3ª"/>
        <s v="4ª"/>
        <s v="5ª"/>
        <s v="IA"/>
        <s v="Exp"/>
      </sharedItems>
    </cacheField>
    <cacheField name="Relevancia (1-10)" numFmtId="0">
      <sharedItems containsSemiMixedTypes="0" containsString="0" containsNumber="1" containsInteger="1">
        <n v="8.0"/>
        <n v="7.0"/>
        <n v="9.0"/>
        <n v="10.0"/>
        <n v="6.0"/>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09" sheet="1 - Pioneros"/>
  </cacheSource>
  <cacheFields>
    <cacheField name="Año" numFmtId="0">
      <sharedItems containsSemiMixedTypes="0" containsString="0" containsNumber="1" containsInteger="1">
        <n v="1614.0"/>
        <n v="1623.0"/>
        <n v="1642.0"/>
        <n v="1673.0"/>
        <n v="1801.0"/>
        <n v="1820.0"/>
        <n v="1822.0"/>
        <n v="1837.0"/>
        <n v="1843.0"/>
        <n v="1844.0"/>
        <n v="1854.0"/>
        <n v="1876.0"/>
        <n v="1890.0"/>
        <n v="1896.0"/>
        <n v="1904.0"/>
        <n v="1936.0"/>
        <n v="1937.0"/>
        <n v="1938.0"/>
        <n v="1941.0"/>
        <n v="1942.0"/>
        <n v="1943.0"/>
        <n v="1944.0"/>
        <n v="1945.0"/>
        <n v="1947.0"/>
        <n v="1948.0"/>
        <n v="1949.0"/>
        <n v="1950.0"/>
        <n v="1951.0"/>
        <n v="1952.0"/>
        <n v="1953.0"/>
        <n v="1954.0"/>
        <n v="1956.0"/>
        <n v="1957.0"/>
        <n v="1958.0"/>
        <n v="1959.0"/>
        <n v="1960.0"/>
        <n v="1961.0"/>
        <n v="1962.0"/>
        <n v="1963.0"/>
        <n v="1964.0"/>
        <n v="1965.0"/>
        <n v="1966.0"/>
        <n v="1968.0"/>
        <n v="1969.0"/>
        <n v="1970.0"/>
        <n v="1971.0"/>
        <n v="1972.0"/>
        <n v="1973.0"/>
        <n v="1974.0"/>
        <n v="1975.0"/>
        <n v="1976.0"/>
        <n v="1977.0"/>
        <n v="1978.0"/>
        <n v="1979.0"/>
        <n v="1980.0"/>
        <n v="1981.0"/>
        <n v="1982.0"/>
        <n v="1983.0"/>
        <n v="1984.0"/>
        <n v="1985.0"/>
        <n v="1986.0"/>
        <n v="1987.0"/>
        <n v="1989.0"/>
        <n v="1990.0"/>
        <n v="1991.0"/>
        <n v="1992.0"/>
        <n v="1993.0"/>
        <n v="1994.0"/>
        <n v="1995.0"/>
        <n v="1996.0"/>
        <n v="1997.0"/>
        <n v="1998.0"/>
        <n v="1999.0"/>
        <n v="2000.0"/>
        <n v="2001.0"/>
        <n v="2003.0"/>
        <n v="2004.0"/>
        <n v="2005.0"/>
        <n v="2006.0"/>
        <n v="2007.0"/>
        <n v="2008.0"/>
        <n v="2009.0"/>
        <n v="2010.0"/>
        <n v="2011.0"/>
        <n v="2012.0"/>
        <n v="2013.0"/>
        <n v="2014.0"/>
        <n v="2015.0"/>
        <n v="2016.0"/>
        <n v="2017.0"/>
        <n v="2018.0"/>
        <n v="2019.0"/>
        <n v="2020.0"/>
        <n v="2021.0"/>
        <n v="2022.0"/>
        <n v="2023.0"/>
        <n v="2024.0"/>
        <n v="2025.0"/>
      </sharedItems>
      <fieldGroup base="0">
        <rangePr autoStart="0" autoEnd="0" startNum="1610.0" endNum="2030.0" groupInterval="10.0"/>
        <groupItems>
          <s v="&lt;1610.0"/>
          <s v="1610 - 1619"/>
          <s v="1620 - 1629"/>
          <s v="1640 - 1649"/>
          <s v="1670 - 1679"/>
          <s v="1800 - 1809"/>
          <s v="1820 - 1829"/>
          <s v="1830 - 1839"/>
          <s v="1840 - 1849"/>
          <s v="1850 - 1859"/>
          <s v="1870 - 1879"/>
          <s v="1890 - 1899"/>
          <s v="1900 - 1909"/>
          <s v="1930 - 1939"/>
          <s v="1940 - 1949"/>
          <s v="1950 - 1959"/>
          <s v="1960 - 1969"/>
          <s v="1970 - 1979"/>
          <s v="1980 - 1989"/>
          <s v="1990 - 1999"/>
          <s v="2000 - 2009"/>
          <s v="2010 - 2019"/>
          <s v="2020 - 2029"/>
          <s v="&gt;2030.0"/>
        </groupItems>
      </fieldGroup>
    </cacheField>
    <cacheField name="Hito Tecnológico" numFmtId="0">
      <sharedItems>
        <s v="Logaritmos"/>
        <s v="Reloj Calculante"/>
        <s v="Pascalina"/>
        <s v="Stepped Reckoner"/>
        <s v="Telar de Jacquard"/>
        <s v="Aritmómetro"/>
        <s v="Máquina Diferencial"/>
        <s v="Máquina Analítica"/>
        <s v="Primer Algoritmo"/>
        <s v="Telégrafo"/>
        <s v="Álgebra de Boole"/>
        <s v="Teléfono"/>
        <s v="Máquina Tabuladora"/>
        <s v="Fundación IBM (CTR)"/>
        <s v="Válvula de Vacío (Diodo)"/>
        <s v="Máquina de Turing"/>
        <s v="Tesis Digital"/>
        <s v="Z1"/>
        <s v="Z3"/>
        <s v="ABC"/>
        <s v="Colossus"/>
        <s v="ENIAC"/>
        <s v="Mark I"/>
        <s v="Arquitectura Von Neumann"/>
        <s v="Memex (Concepto)"/>
        <s v="Transistor"/>
        <s v="Teoría de la Información"/>
        <s v="Manchester Baby"/>
        <s v="EDSAC"/>
        <s v="Test de Turing"/>
        <s v="UNIVAC I"/>
        <s v="LEO I"/>
        <s v="Compilador A-0"/>
        <s v="IBM 701"/>
        <s v="Silicon Transistor"/>
        <s v="Disco Duro (RAMAC)"/>
        <s v="Inteligencia Artificial"/>
        <s v="FORTRAN"/>
        <s v="Sputnik 1"/>
        <s v="Circuito Integrado (Chip)"/>
        <s v="LISP"/>
        <s v="COBOL"/>
        <s v="IBM 1401"/>
        <s v="Packet Switching"/>
        <s v="Robot Industrial"/>
        <s v="Spacewar!"/>
        <s v="Sketchpad"/>
        <s v="Mouse (Prototipo)"/>
        <s v="IBM System/360"/>
        <s v="BASIC"/>
        <s v="Ley de Moore"/>
        <s v="Hipertexto"/>
        <s v="ELIZA"/>
        <s v="La Madre de todas las Demos"/>
        <s v="ARPANET"/>
        <s v="UNIX"/>
        <s v="CCD"/>
        <s v="Bases de Datos Relacionales"/>
        <s v="Fibra Óptica"/>
        <s v="Intel 4004"/>
        <s v="Email"/>
        <s v="Disquete (Floppy)"/>
        <s v="Lenguaje C"/>
        <s v="Pong"/>
        <s v="Magnavox Odyssey"/>
        <s v="Ethernet"/>
        <s v="Xerox Alto"/>
        <s v="Teléfono Móvil"/>
        <s v="TCP/IP (Diseño)"/>
        <s v="Altair 8800"/>
        <s v="Microsoft"/>
        <s v="Apple I"/>
        <s v="Cray-1"/>
        <s v="Apple II"/>
        <s v="Commodore PET"/>
        <s v="TRS-80"/>
        <s v="Atari 2600"/>
        <s v="Intel 8086"/>
        <s v="VisiCalc"/>
        <s v="Walkman"/>
        <s v="Pac-Man"/>
        <s v="Disco Duro 5.25"/>
        <s v="IBM PC (5150)"/>
        <s v="MS-DOS"/>
        <s v="Osborne 1"/>
        <s v="Commodore 64"/>
        <s v="Compact Disc (CD)"/>
        <s v="Protocolo SMTP"/>
        <s v="Internet (Nace)"/>
        <s v="C++"/>
        <s v="Motorola DynaTAC"/>
        <s v="Nintendo NES"/>
        <s v="Macintosh"/>
        <s v="Memoria Flash"/>
        <s v="DNS"/>
        <s v="Windows 1.0"/>
        <s v="CD-ROM"/>
        <s v="ARM (Arquitectura)"/>
        <s v="SQL (Estándar)"/>
        <s v="Perl"/>
        <s v="Game Boy"/>
        <s v="World Wide Web"/>
        <s v="Photoshop"/>
        <s v="Windows 3.0"/>
        <s v="Linux Kernel"/>
        <s v="Python"/>
        <s v="GSM (2G)"/>
        <s v="SMS"/>
        <s v="Mosaic"/>
        <s v="Pentium"/>
        <s v="PDF"/>
        <s v="Netscape Navigator"/>
        <s v="Amazon"/>
        <s v="PHP"/>
        <s v="Windows 95"/>
        <s v="Java"/>
        <s v="DVD"/>
        <s v="eBay"/>
        <s v="Hotmail"/>
        <s v="Deep Blue"/>
        <s v="USB 1.0"/>
        <s v="Wi-Fi (802.11)"/>
        <s v="Google Search"/>
        <s v="iMac"/>
        <s v="Mozilla"/>
        <s v="Nvidia GeForce 256"/>
        <s v="Napster"/>
        <s v="Bluetooth 1.0"/>
        <s v="PlayStation 2"/>
        <s v="USB Flash Drive"/>
        <s v="C# (C Sharp)"/>
        <s v="Wikipedia"/>
        <s v="Mac OS X"/>
        <s v="iPod"/>
        <s v="Windows XP"/>
        <s v="Skype"/>
        <s v="WordPress"/>
        <s v="Facebook"/>
        <s v="Firefox 1.0"/>
        <s v="Ubuntu"/>
        <s v="YouTube"/>
        <s v="Google Maps"/>
        <s v="Git"/>
        <s v="AWS (Cloud)"/>
        <s v="Twitter"/>
        <s v="iPhone"/>
        <s v="Kindle"/>
        <s v="Android"/>
        <s v="App Store"/>
        <s v="Blockchain (Bitcoin)"/>
        <s v="Spotify"/>
        <s v="Chrome"/>
        <s v="Node.js"/>
        <s v="WhatsApp"/>
        <s v="iPad"/>
        <s v="Instagram"/>
        <s v="Siri (Adquisición)"/>
        <s v="Minecraft (Oficial)"/>
        <s v="Zoom"/>
        <s v="Raspberry Pi"/>
        <s v="AlexNet"/>
        <s v="CRISPR-Cas9"/>
        <s v="Tesla Model S"/>
        <s v="Docker"/>
        <s v="PlayStation 4"/>
        <s v="HTML5 (Final)"/>
        <s v="Amazon Echo (Alexa)"/>
        <s v="Ethereum"/>
        <s v="OpenAI"/>
        <s v="Windows 10"/>
        <s v="USB-C"/>
        <s v="AlphaGo"/>
        <s v="AirPods"/>
        <s v="TikTok (Douyin)"/>
        <s v="Transformer"/>
        <s v="Nintendo Switch"/>
        <s v="Fortnite"/>
        <s v="BERT"/>
        <s v="Computación Cuántica"/>
        <s v="5G (Despliegue)"/>
        <s v="Starlink"/>
        <s v="GPT-3"/>
        <s v="Apple M1"/>
        <s v="Vacunas ARNm"/>
        <s v="DALL-E"/>
        <s v="GitHub Copilot"/>
        <s v="NFT Boom"/>
        <s v="Metaverso (Rebrand)"/>
        <s v="Midjourney"/>
        <s v="Stable Diffusion"/>
        <s v="Frontier"/>
        <s v="ChatGPT"/>
        <s v="GPT-4"/>
        <s v="Llama 2"/>
        <s v="Vision Pro (Anuncio)"/>
        <s v="Gemini"/>
        <s v="Nvidia H100"/>
        <s v="Sora"/>
        <s v="Neuralink (Telepathy)"/>
        <s v="Copilot PC"/>
        <s v="Groq"/>
        <s v="Devin"/>
        <s v="Claude 3"/>
        <s v="Rabbit R1"/>
        <s v="Agentes Autónomos"/>
        <s v="Fusión Nuclear (Hito)"/>
        <s v="Computación Óptica"/>
        <s v="6G (Estándar)"/>
      </sharedItems>
    </cacheField>
    <cacheField name="Figura/Componente" numFmtId="0">
      <sharedItems>
        <s v="John Napier"/>
        <s v="Wilhelm Schickard"/>
        <s v="Blaise Pascal"/>
        <s v="Gottfried Leibniz"/>
        <s v="Joseph Marie Jacquard"/>
        <s v="Thomas de Colmar"/>
        <s v="Charles Babbage"/>
        <s v="Ada Lovelace"/>
        <s v="Samuel Morse"/>
        <s v="George Boole"/>
        <s v="Alexander Graham Bell"/>
        <s v="Herman Hollerith"/>
        <s v="John Fleming"/>
        <s v="Alan Turing"/>
        <s v="Claude Shannon"/>
        <s v="Konrad Zuse"/>
        <s v="Atanasoff/Berry"/>
        <s v="Tommy Flowers"/>
        <s v="Eckert/Mauchly"/>
        <s v="Howard Aiken/IBM"/>
        <s v="John von Neumann"/>
        <s v="Vannevar Bush"/>
        <s v="Bardeen/Brattain/Shockley"/>
        <s v="Williams/Kilburn"/>
        <s v="Maurice Wilkes"/>
        <s v="J. Lyons &amp; Co."/>
        <s v="Grace Hopper"/>
        <s v="IBM"/>
        <s v="Texas Instruments"/>
        <s v="Dartmouth Conf."/>
        <s v="John Backus"/>
        <s v="URSS"/>
        <s v="Jack Kilby"/>
        <s v="John McCarthy"/>
        <s v="Grace Hopper/DoD"/>
        <s v="Paul Baran"/>
        <s v="Unimate"/>
        <s v="Steve Russell"/>
        <s v="Ivan Sutherland"/>
        <s v="Douglas Engelbart"/>
        <s v="Kemeny/Kurtz"/>
        <s v="Gordon Moore"/>
        <s v="Ted Nelson"/>
        <s v="Joseph Weizenbaum"/>
        <s v="DoD / BBN"/>
        <s v="Thompson/Ritchie"/>
        <s v="Bell Labs"/>
        <s v="Edgar Codd"/>
        <s v="Corning"/>
        <s v="Ted Hoff/Intel"/>
        <s v="Ray Tomlinson"/>
        <s v="Dennis Ritchie"/>
        <s v="Atari"/>
        <s v="Ralph Baer"/>
        <s v="Robert Metcalfe"/>
        <s v="Xerox PARC"/>
        <s v="Martin Cooper (Motorola)"/>
        <s v="Cerf/Kahn"/>
        <s v="MITS"/>
        <s v="Gates/Allen"/>
        <s v="Wozniak/Jobs"/>
        <s v="Seymour Cray"/>
        <s v="Apple"/>
        <s v="Commodore"/>
        <s v="Tandy"/>
        <s v="Intel"/>
        <s v="Dan Bricklin"/>
        <s v="Sony"/>
        <s v="Namco"/>
        <s v="Seagate"/>
        <s v="Microsoft"/>
        <s v="Adam Osborne"/>
        <s v="Sony/Philips"/>
        <s v="Postel"/>
        <s v="ARPANET"/>
        <s v="Bjarne Stroustrup"/>
        <s v="Motorola"/>
        <s v="Nintendo"/>
        <s v="Fujio Masuoka (Toshiba)"/>
        <s v="Paul Mockapetris"/>
        <s v="Acorn Computers"/>
        <s v="ANSI"/>
        <s v="Larry Wall"/>
        <s v="Tim Berners-Lee"/>
        <s v="Adobe"/>
        <s v="Linus Torvalds"/>
        <s v="Guido van Rossum"/>
        <s v="ETSI"/>
        <s v="Neil Papworth"/>
        <s v="NCSA"/>
        <s v="Netscape"/>
        <s v="Jeff Bezos"/>
        <s v="Rasmus Lerdorf"/>
        <s v="Sun Microsystems"/>
        <s v="Consorcio"/>
        <s v="Pierre Omidyar"/>
        <s v="Sabeer Bhatia"/>
        <s v="Intel/MS/etc"/>
        <s v="IEEE"/>
        <s v="Page y Brin"/>
        <s v="Nvidia"/>
        <s v="Shawn Fanning"/>
        <s v="Ericsson"/>
        <s v="Trek/IBM"/>
        <s v="Jimmy Wales"/>
        <s v="Zennstrom/Friis"/>
        <s v="Mullenweg"/>
        <s v="Zuckerberg"/>
        <s v="Mozilla"/>
        <s v="Canonical"/>
        <s v="Hurley/Chen/Karim"/>
        <s v="Google"/>
        <s v="Amazon"/>
        <s v="Jack Dorsey"/>
        <s v="Satoshi Nakamoto"/>
        <s v="Daniel Ek"/>
        <s v="Ryan Dahl"/>
        <s v="Koum/Acton"/>
        <s v="Systrom/Krieger"/>
        <s v="Mojang"/>
        <s v="Eric Yuan"/>
        <s v="Eben Upton"/>
        <s v="Hinton/Krizhevsky"/>
        <s v="Doudna/Charpentier"/>
        <s v="Tesla"/>
        <s v="Solomon Hykes"/>
        <s v="W3C"/>
        <s v="Vitalik Buterin"/>
        <s v="Musk/Altman"/>
        <s v="USB-IF"/>
        <s v="DeepMind"/>
        <s v="ByteDance"/>
        <s v="Google Brain"/>
        <s v="Epic Games"/>
        <s v="Google (Sycamore)"/>
        <s v="Varios"/>
        <s v="SpaceX"/>
        <s v="OpenAI"/>
        <s v="BioNTech/Moderna"/>
        <s v="GitHub"/>
        <s v="Meta"/>
        <s v="David Holz"/>
        <s v="Stability AI"/>
        <s v="Oak Ridge"/>
        <s v="Elon Musk"/>
        <s v="Groq Inc."/>
        <s v="Cognition"/>
        <s v="Anthropic"/>
        <s v="Rabbit"/>
        <s v="ITER/NIF"/>
        <s v="ITU"/>
      </sharedItems>
    </cacheField>
    <cacheField name="Impacto Breve" numFmtId="0">
      <sharedItems>
        <s v="Base matemática para el cálculo"/>
        <s v="Primera máquina de calcular (diseño)"/>
        <s v="Primera calculadora mecánica funcional"/>
        <s v="Calculadora que multiplicaba"/>
        <s v="Uso de tarjetas perforadas"/>
        <s v="Primera calculadora comercial fiable"/>
        <s v="Cálculo de tablas polinómicas"/>
        <s v="Diseño de computador de propósito general"/>
        <s v="Primer programa de la historia"/>
        <s v="Comunicación a larga distancia"/>
        <s v="Lógica binaria fundamental"/>
        <s v="Transmisión de voz"/>
        <s v="Procesamiento datos censo (Tarjetas)"/>
        <s v="Nace el gigante de la computación"/>
        <s v="Control del flujo eléctrico"/>
        <s v="Modelo matemático de la computación"/>
        <s v="Circuitos digitales y booleano"/>
        <s v="Primera computadora binaria programable"/>
        <s v="Primera máquina Turing-completa"/>
        <s v="Primer computador digital electrónico"/>
        <s v="Descifrado de códigos nazis"/>
        <s v="Primer ordenador electrónico general"/>
        <s v="Computador electromecánico gigante"/>
        <s v="Estructura CPU+Memoria unificada"/>
        <s v="Precursor del hipertexto"/>
        <s v="Reemplazo de válvulas (Miniaturización)"/>
        <s v="Matemática de la comunicación digital"/>
        <s v="Primer programa almacenado ejecutado"/>
        <s v="Ordenador práctico con programa"/>
        <s v="Criterio de inteligencia artificial"/>
        <s v="Primer ordenador comercial EE.UU."/>
        <s v="Primer ordenador para negocios"/>
        <s v="Primer compilador software"/>
        <s v="Primera computadora científica IBM"/>
        <s v="Transistores comerciales de silicio"/>
        <s v="Primer almacenamiento magnético rotatorio"/>
        <s v="Nacimiento del campo IA"/>
        <s v="Primer lenguaje alto nivel popular"/>
        <s v="Inicio carrera espacial y telecom satélite"/>
        <s v="Varios componentes en una pieza"/>
        <s v="Lenguaje para IA (listas)"/>
        <s v="Lenguaje estándar negocios"/>
        <s v="Ordenador empresarial masivo"/>
        <s v="Base de redes robustas"/>
        <s v="Automatización de fábricas"/>
        <s v="Primer videojuego de ordenador"/>
        <s v="Primera GUI y CAD"/>
        <s v="Interfaz humano-máquina"/>
        <s v="Familia compatible de ordenadores"/>
        <s v="Programación para estudiantes"/>
        <s v="Predicción escalado chips"/>
        <s v="Concepto de enlaces digitales"/>
        <s v="Primer chatbot (psicoterapeuta)"/>
        <s v="Demo de Mouse/GUI/Videollamada"/>
        <s v="Precursor de Internet (4 nodos)"/>
        <s v="Sistema operativo portable"/>
        <s v="Base de la fotografía digital"/>
        <s v="Modelo SQL y tablas"/>
        <s v="Transmisión datos luz"/>
        <s v="Primer microprocesador comercial"/>
        <s v="Correo en red (@)"/>
        <s v="Almacenamiento portátil"/>
        <s v="Base sistemas modernos"/>
        <s v="Nacimiento industria arcade"/>
        <s v="Primera consola doméstica"/>
        <s v="Redes de área local (LAN)"/>
        <s v="Primer PC con GUI y Mouse"/>
        <s v="Primera llamada celular"/>
        <s v="Protocolo de Internet"/>
        <s v="Inicio revolución microordenador"/>
        <s v="Fundación empresa software"/>
        <s v="Ordenador personal hobby"/>
        <s v="Supercomputadora vectorial ícono"/>
        <s v="PC color masivo éxito"/>
        <s v="PC todo en uno"/>
        <s v="PC accesible masivo"/>
        <s v="Consola cartuchos intercambiables"/>
        <s v="Inicio arquitectura x86"/>
        <s v="Primera hoja cálculo (Killer App)"/>
        <s v="Música portátil personal"/>
        <s v="Fenómeno cultural videojuegos"/>
        <s v="Almacenamiento PC (5MB)"/>
        <s v="Estándar industria PC"/>
        <s v="SO para IBM PC"/>
        <s v="Primer ordenador &quot;portátil&quot;"/>
        <s v="PC más vendido historia"/>
        <s v="Audio digital óptico"/>
        <s v="Estándar email"/>
        <s v="Migración a TCP/IP"/>
        <s v="C con clases"/>
        <s v="Primer móvil comercial"/>
        <s v="Rescate industria videojuegos"/>
        <s v="GUI para las masas"/>
        <s v="Almacenamiento no volátil"/>
        <s v="Nombres de dominio"/>
        <s v="GUI para DOS"/>
        <s v="Datos en disco óptico"/>
        <s v="Base de chips móviles futuros"/>
        <s v="Lenguaje bases de datos"/>
        <s v="Lenguaje scripting web"/>
        <s v="Videojuego portátil masivo"/>
        <s v="Propuesta de la Web"/>
        <s v="Edición imagen digital"/>
        <s v="Éxito masivo de Windows"/>
        <s v="SO Open Source"/>
        <s v="Lenguaje multipropósito"/>
        <s v="Estándar móvil digital"/>
        <s v="Mensajería texto móvil"/>
        <s v="Primer navegador gráfico popular"/>
        <s v="Marca dominante CPUs"/>
        <s v="Documento digital portable"/>
        <s v="Popularización de la Web"/>
        <s v="Inicio e-commerce"/>
        <s v="Lenguaje lado servidor web"/>
        <s v="Inicio y barra tareas"/>
        <s v="Lenguaje multiplataforma"/>
        <s v="Video digital alta capacidad"/>
        <s v="Subastas online"/>
        <s v="Webmail gratuito"/>
        <s v="IA gana a Kasparov (Ajedrez)"/>
        <s v="Puerto universal"/>
        <s v="Internet inalámbrico"/>
        <s v="Motor búsqueda moderno"/>
        <s v="Diseño y USB por defecto"/>
        <s v="Código abierto navegador"/>
        <s v="Primera GPU moderna"/>
        <s v="P2P música"/>
        <s v="Conexión corto alcance"/>
        <s v="Consola más vendida historia"/>
        <s v="Adiós al disquete"/>
        <s v="Lenguaje plataforma .NET"/>
        <s v="Conocimiento colaborativo"/>
        <s v="Unix para usuarios finales"/>
        <s v="Música digital masiva"/>
        <s v="Estabilidad NT en hogar"/>
        <s v="VoIP masivo"/>
        <s v="Democratización CMS web"/>
        <s v="Red social hegemónica"/>
        <s v="Alternativa a IE"/>
        <s v="Linux para humanos"/>
        <s v="Video online masivo"/>
        <s v="Mapas digitales dinámicos"/>
        <s v="Control de versiones moderno"/>
        <s v="Infraestructura como servicio"/>
        <s v="Microblogging"/>
        <s v="Smartphone moderno multitouch"/>
        <s v="Lectura digital masiva"/>
        <s v="SO móvil abierto"/>
        <s v="Modelo negocio apps"/>
        <s v="Criptomoneda y DLT"/>
        <s v="Streaming música legal"/>
        <s v="Navegador rápido V8"/>
        <s v="JavaScript en servidor"/>
        <s v="Mensajería móvil global"/>
        <s v="Era Post-PC (Tablet)"/>
        <s v="Red social visual"/>
        <s v="Asistente voz móvil"/>
        <s v="Fenómeno creativo juegos"/>
        <s v="Videoconferencia moderna"/>
        <s v="PC educativo $35"/>
        <s v="Deep Learning visión"/>
        <s v="Edición genética programable"/>
        <s v="Coche eléctrico conectado"/>
        <s v="Contenedores software"/>
        <s v="Consola social compartida"/>
        <s v="Web semántica estándar"/>
        <s v="Altavoz inteligente"/>
        <s v="Smart Contracts"/>
        <s v="Fundación lab IA"/>
        <s v="SO como servicio"/>
        <s v="Conector reversible universal"/>
        <s v="IA vence en Go"/>
        <s v="Audio inalámbrico TWS"/>
        <s v="Algoritmo video corto"/>
        <s v="Arquitectura base LLMs"/>
        <s v="Consola híbrida"/>
        <s v="Metaverso social temprano"/>
        <s v="NLP bidireccional"/>
        <s v="Supremacía cuántica (demo)"/>
        <s v="Red móvil alta velocidad"/>
        <s v="Internet satelital baja latencia"/>
        <s v="LLM Generativo potente"/>
        <s v="ARM en escritorio (Silicon)"/>
        <s v="Bioinformática aplicada"/>
        <s v="Texto a Imagen"/>
        <s v="Programación asistida IA"/>
        <s v="Arte digital tokenizado"/>
        <s v="Apuesta por VR/AR"/>
        <s v="Arte generativo calidad"/>
        <s v="IA Generativa Open Source"/>
        <s v="Supercomputadora Exascale"/>
        <s v="Chatbot IA masivo"/>
        <s v="Modelo multimodal avanzado"/>
        <s v="LLM Open Source potente"/>
        <s v="Computación espacial"/>
        <s v="Modelo nativo multimodal"/>
        <s v="Chip estándar para IA"/>
        <s v="Video generativo realista"/>
        <s v="Implante cerebral humano"/>
        <s v="Integración IA en OS"/>
        <s v="Inferencia IA ultra-rápida (LPU)"/>
        <s v="Ingeniero software IA autónomo"/>
        <s v="Modelo IA contexto largo"/>
        <s v="Dispositivo post-app (IA)"/>
        <s v="IA que ejecuta acciones"/>
        <s v="Avance energía limpia (Simulación)"/>
        <s v="Procesadores de luz"/>
        <s v="Definición nueva red"/>
      </sharedItems>
    </cacheField>
    <cacheField name="Siglo" numFmtId="0">
      <sharedItems>
        <s v="XVII"/>
        <s v="XIX"/>
        <s v="XX"/>
        <s v="XXI"/>
      </sharedItems>
    </cacheField>
    <cacheField name="Tipo" numFmtId="0">
      <sharedItems>
        <s v="Teórica"/>
        <s v="Mecánica"/>
        <s v="Telecom"/>
        <s v="Electromecánica"/>
        <s v="Empresa"/>
        <s v="Electrónica"/>
        <s v="IA"/>
        <s v="Software"/>
        <s v="Hardware"/>
        <s v="Digital"/>
        <s v="Redes"/>
        <s v="Robótica"/>
        <s v="Periférico"/>
        <s v="Evento"/>
        <s v="Internet"/>
        <s v="Bio"/>
        <s v="Transporte"/>
        <s v="Cuántica"/>
        <s v="Concepto"/>
        <s v="Física"/>
      </sharedItems>
    </cacheField>
    <cacheField name="País" numFmtId="0">
      <sharedItems>
        <s v="Escocia"/>
        <s v="Alemania"/>
        <s v="Francia"/>
        <s v="Reino Unido"/>
        <s v="EE.UU."/>
        <s v="URSS"/>
        <s v="Japón"/>
        <s v="Japón/P.Bajos"/>
        <s v="Suiza (CERN)"/>
        <s v="Finlandia"/>
        <s v="P.Bajos"/>
        <s v="Europa"/>
        <s v="Canadá"/>
        <s v="Global"/>
        <s v="Suecia"/>
        <s v="Israel/Singapur"/>
        <s v="Estonia"/>
        <s v="Sudáfrica/UK"/>
        <s v="China"/>
        <s v="Alemania/EE.UU."/>
      </sharedItems>
    </cacheField>
    <cacheField name="Generación" numFmtId="0">
      <sharedItems>
        <s v="Pre-Gen"/>
        <s v="1ª"/>
        <s v="2ª"/>
        <s v="Teórica"/>
        <s v="3ª"/>
        <s v="4ª"/>
        <s v="5ª"/>
        <s v="IA"/>
        <s v="Exp"/>
      </sharedItems>
    </cacheField>
    <cacheField name="Relevancia (1-10)" numFmtId="0">
      <sharedItems containsSemiMixedTypes="0" containsString="0" containsNumber="1" containsInteger="1">
        <n v="8.0"/>
        <n v="7.0"/>
        <n v="9.0"/>
        <n v="10.0"/>
        <n v="6.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dashboard" cacheId="0" dataCaption="" compact="0" compactData="0">
  <location ref="O7:O8" firstHeaderRow="0" firstDataRow="0" firstDataCol="0"/>
  <pivotFields>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Hito Tecnológ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Figura/Compon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Impacto Brev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Siglo"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í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eración" compact="0" outline="0" multipleItemSelectionAllowed="1" showAll="0">
      <items>
        <item x="0"/>
        <item x="1"/>
        <item x="2"/>
        <item x="3"/>
        <item x="4"/>
        <item x="5"/>
        <item x="6"/>
        <item x="7"/>
        <item x="8"/>
        <item t="default"/>
      </items>
    </pivotField>
    <pivotField name="Relevancia (1-10)" compact="0" outline="0" multipleItemSelectionAllowed="1" showAll="0">
      <items>
        <item x="0"/>
        <item x="1"/>
        <item x="2"/>
        <item x="3"/>
        <item x="4"/>
        <item t="default"/>
      </items>
    </pivotField>
  </pivotFields>
  <dataFields>
    <dataField name="SUM of Impacto Breve" fld="3" baseField="0"/>
  </dataFields>
</pivotTableDefinition>
</file>

<file path=xl/pivotTables/pivotTable2.xml><?xml version="1.0" encoding="utf-8"?>
<pivotTableDefinition xmlns="http://schemas.openxmlformats.org/spreadsheetml/2006/main" name="dashboard 2" cacheId="1" dataCaption="" compact="0" compactData="0">
  <location ref="N23:N24"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t="default"/>
      </items>
    </pivotField>
    <pivotField name="Riesgo (1-10)" compact="0" outline="0" multipleItemSelectionAllowed="1" showAll="0">
      <items>
        <item x="0"/>
        <item x="1"/>
        <item x="2"/>
        <item x="3"/>
        <item x="4"/>
        <item x="5"/>
        <item x="6"/>
        <item x="7"/>
        <item x="8"/>
        <item x="9"/>
        <item x="10"/>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name="Usuarios (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Edad Mín." compact="0" outline="0" multipleItemSelectionAllowed="1" showAll="0">
      <items>
        <item x="0"/>
        <item x="1"/>
        <item x="2"/>
        <item x="3"/>
        <item x="4"/>
        <item x="5"/>
        <item x="6"/>
        <item x="7"/>
        <item x="8"/>
        <item x="9"/>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Uso Diario (mi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Etiqueta Riesgo" compact="0" outline="0" multipleItemSelectionAllowed="1" showAll="0">
      <items>
        <item x="0"/>
        <item x="1"/>
        <item x="2"/>
        <item x="3"/>
        <item t="default"/>
      </items>
    </pivotField>
  </pivotFields>
  <dataFields>
    <dataField name="SUM of Usuarios (M)" fld="3" baseField="0"/>
  </dataFields>
</pivotTableDefinition>
</file>

<file path=xl/pivotTables/pivotTable3.xml><?xml version="1.0" encoding="utf-8"?>
<pivotTableDefinition xmlns="http://schemas.openxmlformats.org/spreadsheetml/2006/main" name="Dashboard para video" cacheId="0" dataCaption="" compact="0" compactData="0">
  <location ref="O7:O8" firstHeaderRow="0" firstDataRow="0" firstDataCol="0"/>
  <pivotFields>
    <pivotField name="Añ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name="Hito Tecnológic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Figura/Compon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Impacto Brev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Siglo"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í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eración" compact="0" outline="0" multipleItemSelectionAllowed="1" showAll="0">
      <items>
        <item x="0"/>
        <item x="1"/>
        <item x="2"/>
        <item x="3"/>
        <item x="4"/>
        <item x="5"/>
        <item x="6"/>
        <item x="7"/>
        <item x="8"/>
        <item t="default"/>
      </items>
    </pivotField>
    <pivotField name="Relevancia (1-10)" compact="0" outline="0" multipleItemSelectionAllowed="1" showAll="0">
      <items>
        <item x="0"/>
        <item x="1"/>
        <item x="2"/>
        <item x="3"/>
        <item x="4"/>
        <item t="default"/>
      </items>
    </pivotField>
  </pivotFields>
  <dataFields>
    <dataField name="SUM of Impacto Breve" fld="3" baseField="0"/>
  </dataFields>
</pivotTableDefinition>
</file>

<file path=xl/pivotTables/pivotTable4.xml><?xml version="1.0" encoding="utf-8"?>
<pivotTableDefinition xmlns="http://schemas.openxmlformats.org/spreadsheetml/2006/main" name="Tablas Dinámicas" cacheId="2" dataCaption="" compact="0" compactData="0">
  <location ref="A2:C61" firstHeaderRow="0" firstDataRow="2"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axis="axisRow" compact="0" outline="0" multipleItemSelectionAllowed="1" showAll="0" sortType="ascending">
      <items>
        <item x="46"/>
        <item x="17"/>
        <item x="31"/>
        <item x="43"/>
        <item x="39"/>
        <item x="7"/>
        <item x="53"/>
        <item x="54"/>
        <item x="10"/>
        <item x="27"/>
        <item x="45"/>
        <item x="49"/>
        <item x="33"/>
        <item x="32"/>
        <item x="18"/>
        <item x="23"/>
        <item x="15"/>
        <item x="52"/>
        <item x="41"/>
        <item x="47"/>
        <item x="28"/>
        <item x="21"/>
        <item x="6"/>
        <item x="51"/>
        <item x="30"/>
        <item x="35"/>
        <item x="56"/>
        <item x="25"/>
        <item x="26"/>
        <item x="24"/>
        <item x="29"/>
        <item x="1"/>
        <item x="37"/>
        <item x="11"/>
        <item x="34"/>
        <item x="44"/>
        <item x="3"/>
        <item x="5"/>
        <item x="9"/>
        <item x="38"/>
        <item x="16"/>
        <item x="12"/>
        <item x="4"/>
        <item x="2"/>
        <item x="48"/>
        <item x="22"/>
        <item x="36"/>
        <item x="40"/>
        <item x="50"/>
        <item x="57"/>
        <item x="8"/>
        <item x="13"/>
        <item x="20"/>
        <item x="14"/>
        <item x="19"/>
        <item x="0"/>
        <item x="42"/>
        <item x="55"/>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4"/>
  </rowFields>
  <colFields>
    <field x="-2"/>
  </colFields>
  <dataFields>
    <dataField name="SUM of Usuarios (M)" fld="3" baseField="0"/>
    <dataField name="AVERAGE of Uso Diario (min)" fld="8" subtotal="average" baseField="0"/>
  </dataFields>
</pivotTableDefinition>
</file>

<file path=xl/pivotTables/pivotTable5.xml><?xml version="1.0" encoding="utf-8"?>
<pivotTableDefinition xmlns="http://schemas.openxmlformats.org/spreadsheetml/2006/main" name="Tablas Dinámicas 2" cacheId="2" dataCaption="" compact="0" compactData="0">
  <location ref="E2:E3"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SUM of Usuarios (M)" fld="3" baseField="0"/>
  </dataFields>
</pivotTableDefinition>
</file>

<file path=xl/pivotTables/pivotTable6.xml><?xml version="1.0" encoding="utf-8"?>
<pivotTableDefinition xmlns="http://schemas.openxmlformats.org/spreadsheetml/2006/main" name="Tablas Dinámicas 3" cacheId="2" dataCaption="" compact="0" compactData="0">
  <location ref="F2:F3"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dataField="1"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AVERAGE of Riesgo (1-10)" fld="1" subtotal="average" baseField="0"/>
  </dataFields>
</pivotTableDefinition>
</file>

<file path=xl/pivotTables/pivotTable7.xml><?xml version="1.0" encoding="utf-8"?>
<pivotTableDefinition xmlns="http://schemas.openxmlformats.org/spreadsheetml/2006/main" name="Tablas Dinámicas 4" cacheId="2" dataCaption="" compact="0" compactData="0">
  <location ref="G2:G3"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AVERAGE of Uso Diario (min)" fld="8" subtotal="average" baseField="0"/>
  </dataFields>
</pivotTableDefinition>
</file>

<file path=xl/pivotTables/pivotTable8.xml><?xml version="1.0" encoding="utf-8"?>
<pivotTableDefinition xmlns="http://schemas.openxmlformats.org/spreadsheetml/2006/main" name="Tablas Dinámicas 5" cacheId="3" dataCaption="" compact="0" compactData="0">
  <location ref="H2:I5" firstHeaderRow="0" firstDataRow="1" firstDataCol="0"/>
  <pivotFields>
    <pivotField name="Año" axis="axisRow" compact="0" outline="0" multipleItemSelectionAllowed="1" showAll="0" sortType="ascending">
      <items>
        <item x="0"/>
        <item x="1"/>
        <item x="2"/>
        <item t="default"/>
      </items>
    </pivotField>
    <pivotField name="Hito Tecnológic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Figura/Compon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Impacto Bre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Siglo"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í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eración" compact="0" outline="0" multipleItemSelectionAllowed="1" showAll="0">
      <items>
        <item x="0"/>
        <item x="1"/>
        <item x="2"/>
        <item x="3"/>
        <item x="4"/>
        <item x="5"/>
        <item x="6"/>
        <item x="7"/>
        <item x="8"/>
        <item t="default"/>
      </items>
    </pivotField>
    <pivotField name="Relevancia (1-10)" compact="0" outline="0" multipleItemSelectionAllowed="1" showAll="0">
      <items>
        <item x="0"/>
        <item x="1"/>
        <item x="2"/>
        <item x="3"/>
        <item x="4"/>
        <item t="default"/>
      </items>
    </pivotField>
  </pivotFields>
  <rowFields>
    <field x="0"/>
  </rowFields>
  <dataFields>
    <dataField name="COUNTA of Hito Tecnológico" fld="1" subtotal="count" showDataAs="percentOfTotal" baseField="0" numFmtId="10"/>
  </dataFields>
</pivotTableDefinition>
</file>

<file path=xl/pivotTables/pivotTable9.xml><?xml version="1.0" encoding="utf-8"?>
<pivotTableDefinition xmlns="http://schemas.openxmlformats.org/spreadsheetml/2006/main" name="Tablas Dinámicas 6" cacheId="4" dataCaption="" compact="0" compactData="0">
  <location ref="E24:F47" firstHeaderRow="0" firstDataRow="1" firstDataCol="0"/>
  <pivotFields>
    <pivotField name="Año"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t="default"/>
      </items>
    </pivotField>
    <pivotField name="Hito Tecnológic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Figura/Componen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Impacto Brev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pivotField>
    <pivotField name="Siglo" compact="0" outline="0" multipleItemSelectionAllowed="1" showAll="0">
      <items>
        <item x="0"/>
        <item x="1"/>
        <item x="2"/>
        <item x="3"/>
        <item t="default"/>
      </items>
    </pivotField>
    <pivotField name="Tipo"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aí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eración" compact="0" outline="0" multipleItemSelectionAllowed="1" showAll="0">
      <items>
        <item x="0"/>
        <item x="1"/>
        <item x="2"/>
        <item x="3"/>
        <item x="4"/>
        <item x="5"/>
        <item x="6"/>
        <item x="7"/>
        <item x="8"/>
        <item t="default"/>
      </items>
    </pivotField>
    <pivotField name="Relevancia (1-10)" compact="0" outline="0" multipleItemSelectionAllowed="1" showAll="0">
      <items>
        <item x="0"/>
        <item x="1"/>
        <item x="2"/>
        <item x="3"/>
        <item x="4"/>
        <item t="default"/>
      </items>
    </pivotField>
  </pivotFields>
  <rowFields>
    <field x="0"/>
  </rowFields>
  <dataFields>
    <dataField name="COUNTA of Hito Tecnológico" fld="1" subtotal="count" baseField="0"/>
  </dataFields>
</pivotTableDefinition>
</file>

<file path=xl/pivotTables/pivotTable10.xml><?xml version="1.0" encoding="utf-8"?>
<pivotTableDefinition xmlns="http://schemas.openxmlformats.org/spreadsheetml/2006/main" name="Tablas Dinámicas 7" cacheId="2" dataCaption="" compact="0" compactData="0">
  <location ref="E170:E171"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SUM of Usuarios (M)" fld="3" baseField="0"/>
  </dataFields>
</pivotTableDefinition>
</file>

<file path=xl/pivotTables/pivotTable11.xml><?xml version="1.0" encoding="utf-8"?>
<pivotTableDefinition xmlns="http://schemas.openxmlformats.org/spreadsheetml/2006/main" name="Tablas Dinámicas 8" cacheId="2" dataCaption="" compact="0" compactData="0">
  <location ref="I170:I171"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dataField="1"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AVERAGE of Riesgo (1-10)" fld="1" subtotal="average" baseField="0"/>
  </dataFields>
</pivotTableDefinition>
</file>

<file path=xl/pivotTables/pivotTable12.xml><?xml version="1.0" encoding="utf-8"?>
<pivotTableDefinition xmlns="http://schemas.openxmlformats.org/spreadsheetml/2006/main" name="Tablas Dinámicas 9" cacheId="2" dataCaption="" compact="0" compactData="0">
  <location ref="M170:M171"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dataField="1"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AVERAGE of Uso Diario (min)" fld="8" subtotal="average" baseField="0"/>
  </dataFields>
</pivotTableDefinition>
</file>

<file path=xl/pivotTables/pivotTable13.xml><?xml version="1.0" encoding="utf-8"?>
<pivotTableDefinition xmlns="http://schemas.openxmlformats.org/spreadsheetml/2006/main" name="Tablas Dinámicas 10" cacheId="2" dataCaption="" compact="0" compactData="0">
  <location ref="D172:D173" firstHeaderRow="0" firstDataRow="0" firstDataCol="0"/>
  <pivotFields>
    <pivotField name="Plataform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t="default"/>
      </items>
    </pivotField>
    <pivotField name="Riesgo (1-10)" compact="0" outline="0" multipleItemSelectionAllowed="1" showAll="0">
      <items>
        <item x="0"/>
        <item x="1"/>
        <item x="2"/>
        <item x="3"/>
        <item x="4"/>
        <item x="5"/>
        <item x="6"/>
        <item x="7"/>
        <item x="8"/>
        <item x="9"/>
        <item t="default"/>
      </items>
    </pivotField>
    <pivotField name="Riesgo Identific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t="default"/>
      </items>
    </pivotField>
    <pivotField name="Usuarios (M)"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Categorí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dad Mín." compact="0" outline="0" multipleItemSelectionAllowed="1" showAll="0">
      <items>
        <item x="0"/>
        <item x="1"/>
        <item x="2"/>
        <item x="3"/>
        <item x="4"/>
        <item x="5"/>
        <item x="6"/>
        <item x="7"/>
        <item x="8"/>
        <item t="default"/>
      </items>
    </pivotField>
    <pivotField name="Se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so Diario (mi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dataFields>
    <dataField name="SUM of Usuarios (M)"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Etapa">
  <x14:extLst>
    <ext uri="{2F2917AC-EB37-4324-AD4E-5DD8C200BD13}">
      <x15:tableSlicerCache tableId="2"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5" sourceName="Categoría">
  <x14:extLst>
    <ext uri="{2F2917AC-EB37-4324-AD4E-5DD8C200BD13}">
      <x15:tableSlicerCache tableId="3" column="5"/>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Categoría">
  <x14:extLst>
    <ext uri="{2F2917AC-EB37-4324-AD4E-5DD8C200BD13}">
      <x15:tableSlicerCache tableId="4"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ía_1" cache="SlicerCache_Table_3_Col_5" caption="Categoría"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tapa_2" cache="SlicerCache_Table_2_Col_1" caption="Etapa" rowHeight="247650"/>
  <x14:slicer name="Column1_3" cache="SlicerCache_Table_1_Col_1" caption="Column1" rowHeight="247650"/>
  <x14:slicer name="Categoría_4" cache="SlicerCache_Table_4_Col_1" caption="Categoría" rowHeight="247650"/>
  <x14:slicer name="Column1_5" cache="SlicerCache_Table_1_Col_1" caption="Column1" rowHeight="247650"/>
  <x14:slicer name="Column1_6" cache="SlicerCache_Table_1_Col_1" caption="Column1" rowHeight="247650"/>
</x14:slicers>
</file>

<file path=xl/tables/table1.xml><?xml version="1.0" encoding="utf-8"?>
<table xmlns="http://schemas.openxmlformats.org/spreadsheetml/2006/main" headerRowCount="0" ref="A1:L215" displayName="Table_1" name="Table_1" id="1">
  <autoFilter ref="$A$1:$L$215"/>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ref="A1:A209" displayName="Table_2" name="Table_2" id="2">
  <autoFilter ref="$A$1:$A$209"/>
  <tableColumns count="1">
    <tableColumn name="Etapa" id="1"/>
  </tableColumns>
  <tableStyleInfo showColumnStripes="0" showFirstColumn="0" showLastColumn="0" showRowStripes="0"/>
</table>
</file>

<file path=xl/tables/table3.xml><?xml version="1.0" encoding="utf-8"?>
<table xmlns="http://schemas.openxmlformats.org/spreadsheetml/2006/main" ref="A1:J275" displayName="Table_3" name="Table_3" id="3">
  <autoFilter ref="$A$1:$J$275"/>
  <tableColumns count="10">
    <tableColumn name="Plataforma" id="1"/>
    <tableColumn name="Riesgo (1-10)" id="2"/>
    <tableColumn name="Riesgo Identificado" id="3"/>
    <tableColumn name="Usuarios (M)" id="4"/>
    <tableColumn name="Categoría" id="5"/>
    <tableColumn name="Edad Mín." id="6"/>
    <tableColumn name="Sede" id="7"/>
    <tableColumn name="Modelo" id="8"/>
    <tableColumn name="Uso Diario (min)" id="9"/>
    <tableColumn name="Etiqueta Riesgo" id="10"/>
  </tableColumns>
  <tableStyleInfo showColumnStripes="0" showFirstColumn="0" showLastColumn="0" showRowStripes="0"/>
</table>
</file>

<file path=xl/tables/table4.xml><?xml version="1.0" encoding="utf-8"?>
<table xmlns="http://schemas.openxmlformats.org/spreadsheetml/2006/main" ref="E1:E275" displayName="Table_4" name="Table_4" id="4">
  <autoFilter ref="$E$1:$E$275"/>
  <tableColumns count="1">
    <tableColumn name="Categoría" id="1"/>
  </tableColumns>
  <tableStyleInfo showColumnStripes="0" showFirstColumn="0" showLastColumn="0" showRowStripes="0"/>
</table>
</file>

<file path=xl/tables/table5.xml><?xml version="1.0" encoding="utf-8"?>
<table xmlns="http://schemas.openxmlformats.org/spreadsheetml/2006/main" headerRowCount="0" ref="I18" displayName="Table_5" name="Table_5" id="5">
  <autoFilter ref="$I$18"/>
  <tableColumns count="1">
    <tableColumn name="Column1" id="1"/>
  </tableColumns>
  <tableStyleInfo showColumnStripes="0" showFirstColumn="0" showLastColumn="0" showRowStripes="0"/>
  <extLst>
    <ext uri="GoogleSheetsCustomDataVersion1">
      <go:sheetsCustomData xmlns:go="http://customooxmlschemas.google.com/" headerRowCount="1"/>
    </ext>
  </extLst>
</table>
</file>

<file path=xl/tables/table6.xml><?xml version="1.0" encoding="utf-8"?>
<table xmlns="http://schemas.openxmlformats.org/spreadsheetml/2006/main" ref="A1:I269" displayName="Table_6" name="Table_6" id="6">
  <tableColumns count="9">
    <tableColumn name="Plataforma" id="1"/>
    <tableColumn name="Riesgo (1-10)" id="2"/>
    <tableColumn name="Riesgo Identificado" id="3"/>
    <tableColumn name="Usuarios (M)" id="4"/>
    <tableColumn name="Categoría" id="5"/>
    <tableColumn name="Edad Mín." id="6"/>
    <tableColumn name="Sede" id="7"/>
    <tableColumn name="Modelo" id="8"/>
    <tableColumn name="Uso Diario (min)" id="9"/>
  </tableColumns>
  <tableStyleInfo name="Datos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cnn.com" TargetMode="External"/><Relationship Id="rId2" Type="http://schemas.openxmlformats.org/officeDocument/2006/relationships/hyperlink" Target="http://bloomberg.com" TargetMode="External"/><Relationship Id="rId3" Type="http://schemas.openxmlformats.org/officeDocument/2006/relationships/hyperlink" Target="http://links.net" TargetMode="External"/><Relationship Id="rId4" Type="http://schemas.openxmlformats.org/officeDocument/2006/relationships/hyperlink" Target="http://download.com" TargetMode="External"/><Relationship Id="rId10" Type="http://schemas.openxmlformats.org/officeDocument/2006/relationships/drawing" Target="../drawings/drawing4.xml"/><Relationship Id="rId12" Type="http://schemas.openxmlformats.org/officeDocument/2006/relationships/table" Target="../tables/table2.xml"/><Relationship Id="rId9" Type="http://schemas.openxmlformats.org/officeDocument/2006/relationships/hyperlink" Target="http://socios.com" TargetMode="External"/><Relationship Id="rId5" Type="http://schemas.openxmlformats.org/officeDocument/2006/relationships/hyperlink" Target="http://disney.com" TargetMode="External"/><Relationship Id="rId6" Type="http://schemas.openxmlformats.org/officeDocument/2006/relationships/hyperlink" Target="http://change.org" TargetMode="External"/><Relationship Id="rId7" Type="http://schemas.openxmlformats.org/officeDocument/2006/relationships/hyperlink" Target="http://change.org" TargetMode="External"/><Relationship Id="rId8" Type="http://schemas.openxmlformats.org/officeDocument/2006/relationships/hyperlink" Target="http://schema.or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character.ai" TargetMode="External"/><Relationship Id="rId2" Type="http://schemas.openxmlformats.org/officeDocument/2006/relationships/hyperlink" Target="http://change.org" TargetMode="External"/><Relationship Id="rId3" Type="http://schemas.openxmlformats.org/officeDocument/2006/relationships/hyperlink" Target="http://academia.edu" TargetMode="External"/><Relationship Id="rId4" Type="http://schemas.openxmlformats.org/officeDocument/2006/relationships/hyperlink" Target="http://code.org" TargetMode="External"/><Relationship Id="rId10" Type="http://schemas.openxmlformats.org/officeDocument/2006/relationships/table" Target="../tables/table4.xml"/><Relationship Id="rId9" Type="http://schemas.openxmlformats.org/officeDocument/2006/relationships/table" Target="../tables/table3.xml"/><Relationship Id="rId5" Type="http://schemas.openxmlformats.org/officeDocument/2006/relationships/hyperlink" Target="http://last.fm"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6.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7.xml"/><Relationship Id="rId4" Type="http://schemas.openxmlformats.org/officeDocument/2006/relationships/table" Target="../tables/table5.xml"/><Relationship Id="rId5"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hyperlink" Target="http://character.ai" TargetMode="External"/><Relationship Id="rId2" Type="http://schemas.openxmlformats.org/officeDocument/2006/relationships/hyperlink" Target="http://change.org" TargetMode="External"/><Relationship Id="rId3" Type="http://schemas.openxmlformats.org/officeDocument/2006/relationships/hyperlink" Target="http://academia.edu" TargetMode="External"/><Relationship Id="rId4" Type="http://schemas.openxmlformats.org/officeDocument/2006/relationships/hyperlink" Target="http://code.org" TargetMode="External"/><Relationship Id="rId5" Type="http://schemas.openxmlformats.org/officeDocument/2006/relationships/hyperlink" Target="http://last.fm" TargetMode="External"/><Relationship Id="rId6" Type="http://schemas.openxmlformats.org/officeDocument/2006/relationships/drawing" Target="../drawings/drawing8.xml"/><Relationship Id="rId8"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11" Type="http://schemas.openxmlformats.org/officeDocument/2006/relationships/drawing" Target="../drawings/drawing9.xml"/><Relationship Id="rId10" Type="http://schemas.openxmlformats.org/officeDocument/2006/relationships/pivotTable" Target="../pivotTables/pivotTable13.xml"/><Relationship Id="rId9" Type="http://schemas.openxmlformats.org/officeDocument/2006/relationships/pivotTable" Target="../pivotTables/pivotTable12.xml"/><Relationship Id="rId5" Type="http://schemas.openxmlformats.org/officeDocument/2006/relationships/pivotTable" Target="../pivotTables/pivotTable8.xml"/><Relationship Id="rId6" Type="http://schemas.openxmlformats.org/officeDocument/2006/relationships/pivotTable" Target="../pivotTables/pivotTable9.xml"/><Relationship Id="rId7" Type="http://schemas.openxmlformats.org/officeDocument/2006/relationships/pivotTable" Target="../pivotTables/pivotTable10.xml"/><Relationship Id="rId8"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8.88"/>
  </cols>
  <sheetData>
    <row r="1">
      <c r="A1" s="1" t="s">
        <v>0</v>
      </c>
    </row>
    <row r="2">
      <c r="A2" s="2" t="s">
        <v>1</v>
      </c>
      <c r="B2" s="3"/>
      <c r="C2" s="3"/>
      <c r="D2" s="3"/>
      <c r="E2" s="4"/>
    </row>
    <row r="3">
      <c r="A3" s="5" t="s">
        <v>2</v>
      </c>
      <c r="B3" s="6"/>
      <c r="C3" s="6"/>
      <c r="D3" s="6"/>
      <c r="E3" s="7"/>
    </row>
    <row r="4">
      <c r="A4" s="8"/>
      <c r="E4" s="9"/>
    </row>
    <row r="5">
      <c r="A5" s="8"/>
      <c r="E5" s="9"/>
    </row>
    <row r="6">
      <c r="A6" s="8"/>
      <c r="E6" s="9"/>
    </row>
    <row r="7">
      <c r="A7" s="8"/>
      <c r="E7" s="9"/>
    </row>
    <row r="8">
      <c r="A8" s="10"/>
      <c r="B8" s="11"/>
      <c r="C8" s="11"/>
      <c r="D8" s="11"/>
      <c r="E8" s="12"/>
    </row>
    <row r="9">
      <c r="A9" s="2" t="s">
        <v>3</v>
      </c>
      <c r="B9" s="3"/>
      <c r="C9" s="3"/>
      <c r="D9" s="3"/>
      <c r="E9" s="4"/>
    </row>
    <row r="10">
      <c r="A10" s="5" t="s">
        <v>4</v>
      </c>
      <c r="B10" s="6"/>
      <c r="C10" s="6"/>
      <c r="D10" s="6"/>
      <c r="E10" s="7"/>
    </row>
    <row r="11">
      <c r="A11" s="8"/>
      <c r="E11" s="9"/>
    </row>
    <row r="12">
      <c r="A12" s="8"/>
      <c r="E12" s="9"/>
    </row>
    <row r="13">
      <c r="A13" s="10"/>
      <c r="B13" s="11"/>
      <c r="C13" s="11"/>
      <c r="D13" s="11"/>
      <c r="E13" s="12"/>
    </row>
    <row r="14">
      <c r="A14" s="5" t="s">
        <v>5</v>
      </c>
      <c r="B14" s="6"/>
      <c r="C14" s="6"/>
      <c r="D14" s="6"/>
      <c r="E14" s="7"/>
    </row>
    <row r="15">
      <c r="A15" s="8"/>
      <c r="E15" s="9"/>
    </row>
    <row r="16">
      <c r="A16" s="8"/>
      <c r="E16" s="9"/>
    </row>
    <row r="17">
      <c r="A17" s="10"/>
      <c r="B17" s="11"/>
      <c r="C17" s="11"/>
      <c r="D17" s="11"/>
      <c r="E17" s="12"/>
    </row>
    <row r="18">
      <c r="A18" s="5" t="s">
        <v>6</v>
      </c>
      <c r="B18" s="6"/>
      <c r="C18" s="6"/>
      <c r="D18" s="6"/>
      <c r="E18" s="7"/>
    </row>
    <row r="19">
      <c r="A19" s="8"/>
      <c r="E19" s="9"/>
    </row>
    <row r="20">
      <c r="A20" s="8"/>
      <c r="E20" s="9"/>
    </row>
    <row r="21">
      <c r="A21" s="10"/>
      <c r="B21" s="11"/>
      <c r="C21" s="11"/>
      <c r="D21" s="11"/>
      <c r="E21" s="12"/>
    </row>
    <row r="22">
      <c r="A22" s="5" t="s">
        <v>7</v>
      </c>
      <c r="B22" s="6"/>
      <c r="C22" s="6"/>
      <c r="D22" s="6"/>
      <c r="E22" s="7"/>
    </row>
    <row r="23">
      <c r="A23" s="8"/>
      <c r="E23" s="9"/>
    </row>
    <row r="24">
      <c r="A24" s="8"/>
      <c r="E24" s="9"/>
    </row>
    <row r="25">
      <c r="A25" s="10"/>
      <c r="B25" s="11"/>
      <c r="C25" s="11"/>
      <c r="D25" s="11"/>
      <c r="E25" s="12"/>
    </row>
    <row r="26">
      <c r="A26" s="5" t="s">
        <v>8</v>
      </c>
      <c r="B26" s="6"/>
      <c r="C26" s="6"/>
      <c r="D26" s="6"/>
      <c r="E26" s="7"/>
    </row>
    <row r="27">
      <c r="A27" s="8"/>
      <c r="E27" s="9"/>
    </row>
    <row r="28">
      <c r="A28" s="8"/>
      <c r="E28" s="9"/>
    </row>
    <row r="29">
      <c r="A29" s="10"/>
      <c r="B29" s="11"/>
      <c r="C29" s="11"/>
      <c r="D29" s="11"/>
      <c r="E29" s="12"/>
    </row>
    <row r="30">
      <c r="A30" s="5" t="s">
        <v>9</v>
      </c>
      <c r="B30" s="6"/>
      <c r="C30" s="6"/>
      <c r="D30" s="6"/>
      <c r="E30" s="7"/>
    </row>
    <row r="31">
      <c r="A31" s="8"/>
      <c r="E31" s="9"/>
    </row>
    <row r="32">
      <c r="A32" s="8"/>
      <c r="E32" s="9"/>
    </row>
    <row r="33">
      <c r="A33" s="10"/>
      <c r="B33" s="11"/>
      <c r="C33" s="11"/>
      <c r="D33" s="11"/>
      <c r="E33" s="12"/>
    </row>
    <row r="34">
      <c r="A34" s="2" t="s">
        <v>10</v>
      </c>
      <c r="B34" s="3"/>
      <c r="C34" s="3"/>
      <c r="D34" s="3"/>
      <c r="E34" s="4"/>
    </row>
    <row r="35">
      <c r="A35" s="13" t="s">
        <v>11</v>
      </c>
      <c r="E35" s="9"/>
    </row>
    <row r="36">
      <c r="A36" s="5" t="s">
        <v>12</v>
      </c>
      <c r="B36" s="6"/>
      <c r="C36" s="6"/>
      <c r="D36" s="6"/>
      <c r="E36" s="7"/>
    </row>
    <row r="37">
      <c r="A37" s="8"/>
      <c r="E37" s="9"/>
    </row>
    <row r="38">
      <c r="A38" s="8"/>
      <c r="E38" s="9"/>
    </row>
    <row r="39">
      <c r="A39" s="8"/>
      <c r="E39" s="9"/>
    </row>
    <row r="40">
      <c r="A40" s="10"/>
      <c r="B40" s="11"/>
      <c r="C40" s="11"/>
      <c r="D40" s="11"/>
      <c r="E40" s="12"/>
    </row>
    <row r="41">
      <c r="A41" s="5" t="s">
        <v>13</v>
      </c>
      <c r="B41" s="6"/>
      <c r="C41" s="6"/>
      <c r="D41" s="6"/>
      <c r="E41" s="7"/>
    </row>
    <row r="42">
      <c r="A42" s="8"/>
      <c r="E42" s="9"/>
    </row>
    <row r="43">
      <c r="A43" s="8"/>
      <c r="E43" s="9"/>
    </row>
    <row r="44">
      <c r="A44" s="8"/>
      <c r="E44" s="9"/>
    </row>
    <row r="45">
      <c r="A45" s="10"/>
      <c r="B45" s="11"/>
      <c r="C45" s="11"/>
      <c r="D45" s="11"/>
      <c r="E45" s="12"/>
    </row>
    <row r="46">
      <c r="A46" s="14" t="s">
        <v>14</v>
      </c>
      <c r="B46" s="15"/>
      <c r="C46" s="15"/>
      <c r="D46" s="15"/>
      <c r="E46" s="16"/>
    </row>
    <row r="47">
      <c r="A47" s="5" t="s">
        <v>15</v>
      </c>
      <c r="B47" s="6"/>
      <c r="C47" s="6"/>
      <c r="D47" s="6"/>
      <c r="E47" s="7"/>
    </row>
    <row r="48">
      <c r="A48" s="8"/>
      <c r="E48" s="9"/>
    </row>
    <row r="49">
      <c r="A49" s="8"/>
      <c r="E49" s="9"/>
    </row>
    <row r="50">
      <c r="A50" s="8"/>
      <c r="E50" s="9"/>
    </row>
    <row r="51">
      <c r="A51" s="10"/>
      <c r="B51" s="11"/>
      <c r="C51" s="11"/>
      <c r="D51" s="11"/>
      <c r="E51" s="12"/>
    </row>
    <row r="52">
      <c r="A52" s="5" t="s">
        <v>16</v>
      </c>
      <c r="B52" s="6"/>
      <c r="C52" s="6"/>
      <c r="D52" s="6"/>
      <c r="E52" s="7"/>
    </row>
    <row r="53">
      <c r="A53" s="8"/>
      <c r="E53" s="9"/>
    </row>
    <row r="54">
      <c r="A54" s="8"/>
      <c r="E54" s="9"/>
    </row>
    <row r="55">
      <c r="A55" s="8"/>
      <c r="E55" s="9"/>
    </row>
    <row r="56">
      <c r="A56" s="10"/>
      <c r="B56" s="11"/>
      <c r="C56" s="11"/>
      <c r="D56" s="11"/>
      <c r="E56" s="12"/>
    </row>
    <row r="57">
      <c r="A57" s="14" t="s">
        <v>17</v>
      </c>
      <c r="B57" s="15"/>
      <c r="C57" s="15"/>
      <c r="D57" s="15"/>
      <c r="E57" s="16"/>
    </row>
    <row r="58">
      <c r="A58" s="5" t="s">
        <v>18</v>
      </c>
      <c r="B58" s="6"/>
      <c r="C58" s="6"/>
      <c r="D58" s="6"/>
      <c r="E58" s="7"/>
    </row>
    <row r="59">
      <c r="A59" s="8"/>
      <c r="E59" s="9"/>
    </row>
    <row r="60">
      <c r="A60" s="8"/>
      <c r="E60" s="9"/>
    </row>
    <row r="61">
      <c r="A61" s="8"/>
      <c r="E61" s="9"/>
    </row>
    <row r="62">
      <c r="A62" s="8"/>
      <c r="E62" s="9"/>
    </row>
    <row r="63">
      <c r="A63" s="10"/>
      <c r="B63" s="11"/>
      <c r="C63" s="11"/>
      <c r="D63" s="11"/>
      <c r="E63" s="12"/>
    </row>
    <row r="64">
      <c r="A64" s="5" t="s">
        <v>19</v>
      </c>
      <c r="B64" s="6"/>
      <c r="C64" s="6"/>
      <c r="D64" s="6"/>
      <c r="E64" s="7"/>
    </row>
    <row r="65">
      <c r="A65" s="8"/>
      <c r="E65" s="9"/>
    </row>
    <row r="66">
      <c r="A66" s="8"/>
      <c r="E66" s="9"/>
    </row>
    <row r="67">
      <c r="A67" s="8"/>
      <c r="E67" s="9"/>
    </row>
    <row r="68">
      <c r="A68" s="8"/>
      <c r="E68" s="9"/>
    </row>
    <row r="69">
      <c r="A69" s="10"/>
      <c r="B69" s="11"/>
      <c r="C69" s="11"/>
      <c r="D69" s="11"/>
      <c r="E69" s="12"/>
    </row>
    <row r="70">
      <c r="A70" s="5" t="s">
        <v>20</v>
      </c>
      <c r="B70" s="6"/>
      <c r="C70" s="6"/>
      <c r="D70" s="6"/>
      <c r="E70" s="7"/>
    </row>
    <row r="71">
      <c r="A71" s="8"/>
      <c r="E71" s="9"/>
    </row>
    <row r="72">
      <c r="A72" s="8"/>
      <c r="E72" s="9"/>
    </row>
    <row r="73">
      <c r="A73" s="8"/>
      <c r="E73" s="9"/>
    </row>
    <row r="74">
      <c r="A74" s="8"/>
      <c r="E74" s="9"/>
    </row>
    <row r="75">
      <c r="A75" s="8"/>
      <c r="E75" s="9"/>
    </row>
    <row r="76">
      <c r="A76" s="10"/>
      <c r="B76" s="11"/>
      <c r="C76" s="11"/>
      <c r="D76" s="11"/>
      <c r="E76" s="12"/>
    </row>
    <row r="77">
      <c r="A77" s="17"/>
      <c r="B77" s="17"/>
      <c r="C77" s="17"/>
      <c r="D77" s="17"/>
      <c r="E77" s="17"/>
    </row>
    <row r="78">
      <c r="A78" s="17"/>
      <c r="B78" s="17"/>
      <c r="C78" s="17"/>
      <c r="D78" s="17"/>
      <c r="E78" s="17"/>
    </row>
    <row r="79">
      <c r="A79" s="17"/>
      <c r="B79" s="17"/>
      <c r="C79" s="17"/>
      <c r="D79" s="17"/>
      <c r="E79" s="17"/>
    </row>
    <row r="80">
      <c r="A80" s="17"/>
      <c r="B80" s="17"/>
      <c r="C80" s="17"/>
      <c r="D80" s="17"/>
      <c r="E80" s="17"/>
    </row>
    <row r="81">
      <c r="A81" s="17"/>
      <c r="B81" s="17"/>
      <c r="C81" s="17"/>
      <c r="D81" s="17"/>
      <c r="E81" s="17"/>
    </row>
    <row r="82">
      <c r="A82" s="17"/>
      <c r="B82" s="17"/>
      <c r="C82" s="17"/>
      <c r="D82" s="17"/>
      <c r="E82" s="17"/>
    </row>
    <row r="83">
      <c r="A83" s="17"/>
      <c r="B83" s="17"/>
      <c r="C83" s="17"/>
      <c r="D83" s="17"/>
      <c r="E83" s="17"/>
    </row>
    <row r="84">
      <c r="A84" s="17"/>
      <c r="B84" s="17"/>
      <c r="C84" s="17"/>
      <c r="D84" s="17"/>
      <c r="E84" s="17"/>
    </row>
    <row r="85">
      <c r="A85" s="17"/>
      <c r="B85" s="17"/>
      <c r="C85" s="17"/>
      <c r="D85" s="17"/>
      <c r="E85" s="17"/>
    </row>
    <row r="86">
      <c r="A86" s="17"/>
      <c r="B86" s="17"/>
      <c r="C86" s="17"/>
      <c r="D86" s="17"/>
      <c r="E86" s="17"/>
    </row>
    <row r="87">
      <c r="A87" s="17"/>
      <c r="B87" s="17"/>
      <c r="C87" s="17"/>
      <c r="D87" s="17"/>
      <c r="E87" s="17"/>
    </row>
    <row r="88">
      <c r="A88" s="17"/>
      <c r="B88" s="17"/>
      <c r="C88" s="17"/>
      <c r="D88" s="17"/>
      <c r="E88" s="17"/>
    </row>
    <row r="89">
      <c r="A89" s="17"/>
      <c r="B89" s="17"/>
      <c r="C89" s="17"/>
      <c r="D89" s="17"/>
      <c r="E89" s="17"/>
    </row>
    <row r="90">
      <c r="A90" s="17"/>
      <c r="B90" s="17"/>
      <c r="C90" s="17"/>
      <c r="D90" s="17"/>
      <c r="E90" s="17"/>
    </row>
    <row r="91">
      <c r="A91" s="17"/>
      <c r="B91" s="17"/>
      <c r="C91" s="17"/>
      <c r="D91" s="17"/>
      <c r="E91" s="17"/>
    </row>
    <row r="92">
      <c r="A92" s="17"/>
      <c r="B92" s="17"/>
      <c r="C92" s="17"/>
      <c r="D92" s="17"/>
      <c r="E92" s="17"/>
    </row>
    <row r="93">
      <c r="A93" s="17"/>
      <c r="B93" s="17"/>
      <c r="C93" s="17"/>
      <c r="D93" s="17"/>
      <c r="E93" s="17"/>
    </row>
    <row r="94">
      <c r="A94" s="17"/>
      <c r="B94" s="17"/>
      <c r="C94" s="17"/>
      <c r="D94" s="17"/>
      <c r="E94" s="17"/>
    </row>
    <row r="95">
      <c r="A95" s="17"/>
      <c r="B95" s="17"/>
      <c r="C95" s="17"/>
      <c r="D95" s="17"/>
      <c r="E95" s="17"/>
    </row>
    <row r="96">
      <c r="A96" s="17"/>
      <c r="B96" s="17"/>
      <c r="C96" s="17"/>
      <c r="D96" s="17"/>
      <c r="E96" s="17"/>
    </row>
    <row r="97">
      <c r="A97" s="17"/>
      <c r="B97" s="17"/>
      <c r="C97" s="17"/>
      <c r="D97" s="17"/>
      <c r="E97" s="17"/>
    </row>
    <row r="98">
      <c r="A98" s="17"/>
      <c r="B98" s="17"/>
      <c r="C98" s="17"/>
      <c r="D98" s="17"/>
      <c r="E98" s="17"/>
    </row>
    <row r="99">
      <c r="A99" s="17"/>
      <c r="B99" s="17"/>
      <c r="C99" s="17"/>
      <c r="D99" s="17"/>
      <c r="E99" s="17"/>
    </row>
    <row r="100">
      <c r="A100" s="17"/>
      <c r="B100" s="17"/>
      <c r="C100" s="17"/>
      <c r="D100" s="17"/>
      <c r="E100" s="17"/>
    </row>
    <row r="101">
      <c r="A101" s="17"/>
      <c r="B101" s="17"/>
      <c r="C101" s="17"/>
      <c r="D101" s="17"/>
      <c r="E101" s="17"/>
    </row>
    <row r="102">
      <c r="A102" s="17"/>
      <c r="B102" s="17"/>
      <c r="C102" s="17"/>
      <c r="D102" s="17"/>
      <c r="E102" s="17"/>
    </row>
    <row r="103">
      <c r="A103" s="17"/>
      <c r="B103" s="17"/>
      <c r="C103" s="17"/>
      <c r="D103" s="17"/>
      <c r="E103" s="17"/>
    </row>
    <row r="104">
      <c r="A104" s="17"/>
      <c r="B104" s="17"/>
      <c r="C104" s="17"/>
      <c r="D104" s="17"/>
      <c r="E104" s="17"/>
    </row>
    <row r="105">
      <c r="A105" s="17"/>
      <c r="B105" s="17"/>
      <c r="C105" s="17"/>
      <c r="D105" s="17"/>
      <c r="E105" s="17"/>
    </row>
    <row r="106">
      <c r="A106" s="17"/>
      <c r="B106" s="17"/>
      <c r="C106" s="17"/>
      <c r="D106" s="17"/>
      <c r="E106" s="17"/>
    </row>
    <row r="107">
      <c r="A107" s="17"/>
      <c r="B107" s="17"/>
      <c r="C107" s="17"/>
      <c r="D107" s="17"/>
      <c r="E107" s="17"/>
    </row>
    <row r="108">
      <c r="A108" s="17"/>
      <c r="B108" s="17"/>
      <c r="C108" s="17"/>
      <c r="D108" s="17"/>
      <c r="E108" s="17"/>
    </row>
    <row r="109">
      <c r="A109" s="17"/>
      <c r="B109" s="17"/>
      <c r="C109" s="17"/>
      <c r="D109" s="17"/>
      <c r="E109" s="17"/>
    </row>
    <row r="110">
      <c r="A110" s="17"/>
      <c r="B110" s="17"/>
      <c r="C110" s="17"/>
      <c r="D110" s="17"/>
      <c r="E110" s="17"/>
    </row>
    <row r="111">
      <c r="A111" s="17"/>
      <c r="B111" s="17"/>
      <c r="C111" s="17"/>
      <c r="D111" s="17"/>
      <c r="E111" s="17"/>
    </row>
    <row r="112">
      <c r="A112" s="17"/>
      <c r="B112" s="17"/>
      <c r="C112" s="17"/>
      <c r="D112" s="17"/>
      <c r="E112" s="17"/>
    </row>
    <row r="113">
      <c r="A113" s="17"/>
      <c r="B113" s="17"/>
      <c r="C113" s="17"/>
      <c r="D113" s="17"/>
      <c r="E113" s="17"/>
    </row>
    <row r="114">
      <c r="A114" s="17"/>
      <c r="B114" s="17"/>
      <c r="C114" s="17"/>
      <c r="D114" s="17"/>
      <c r="E114" s="17"/>
    </row>
    <row r="115">
      <c r="A115" s="17"/>
      <c r="B115" s="17"/>
      <c r="C115" s="17"/>
      <c r="D115" s="17"/>
      <c r="E115" s="17"/>
    </row>
    <row r="116">
      <c r="A116" s="17"/>
      <c r="B116" s="17"/>
      <c r="C116" s="17"/>
      <c r="D116" s="17"/>
      <c r="E116" s="17"/>
    </row>
    <row r="117">
      <c r="A117" s="17"/>
      <c r="B117" s="17"/>
      <c r="C117" s="17"/>
      <c r="D117" s="17"/>
      <c r="E117" s="17"/>
    </row>
    <row r="118">
      <c r="A118" s="17"/>
      <c r="B118" s="17"/>
      <c r="C118" s="17"/>
      <c r="D118" s="17"/>
      <c r="E118" s="17"/>
    </row>
    <row r="119">
      <c r="A119" s="17"/>
      <c r="B119" s="17"/>
      <c r="C119" s="17"/>
      <c r="D119" s="17"/>
      <c r="E119" s="17"/>
    </row>
    <row r="120">
      <c r="A120" s="17"/>
      <c r="B120" s="17"/>
      <c r="C120" s="17"/>
      <c r="D120" s="17"/>
      <c r="E120" s="17"/>
    </row>
    <row r="121">
      <c r="A121" s="17"/>
      <c r="B121" s="17"/>
      <c r="C121" s="17"/>
      <c r="D121" s="17"/>
      <c r="E121" s="17"/>
    </row>
    <row r="122">
      <c r="A122" s="17"/>
      <c r="B122" s="17"/>
      <c r="C122" s="17"/>
      <c r="D122" s="17"/>
      <c r="E122" s="17"/>
    </row>
    <row r="123">
      <c r="A123" s="17"/>
      <c r="B123" s="17"/>
      <c r="C123" s="17"/>
      <c r="D123" s="17"/>
      <c r="E123" s="17"/>
    </row>
    <row r="124">
      <c r="A124" s="17"/>
      <c r="B124" s="17"/>
      <c r="C124" s="17"/>
      <c r="D124" s="17"/>
      <c r="E124" s="17"/>
    </row>
    <row r="125">
      <c r="A125" s="17"/>
      <c r="B125" s="17"/>
      <c r="C125" s="17"/>
      <c r="D125" s="17"/>
      <c r="E125" s="17"/>
    </row>
    <row r="126">
      <c r="A126" s="17"/>
      <c r="B126" s="17"/>
      <c r="C126" s="17"/>
      <c r="D126" s="17"/>
      <c r="E126" s="17"/>
    </row>
    <row r="127">
      <c r="A127" s="17"/>
      <c r="B127" s="17"/>
      <c r="C127" s="17"/>
      <c r="D127" s="17"/>
      <c r="E127" s="17"/>
    </row>
    <row r="128">
      <c r="A128" s="17"/>
      <c r="B128" s="17"/>
      <c r="C128" s="17"/>
      <c r="D128" s="17"/>
      <c r="E128" s="17"/>
    </row>
    <row r="129">
      <c r="A129" s="17"/>
      <c r="B129" s="17"/>
      <c r="C129" s="17"/>
      <c r="D129" s="17"/>
      <c r="E129" s="17"/>
    </row>
    <row r="130">
      <c r="A130" s="17"/>
      <c r="B130" s="17"/>
      <c r="C130" s="17"/>
      <c r="D130" s="17"/>
      <c r="E130" s="17"/>
    </row>
    <row r="131">
      <c r="A131" s="17"/>
      <c r="B131" s="17"/>
      <c r="C131" s="17"/>
      <c r="D131" s="17"/>
      <c r="E131" s="17"/>
    </row>
    <row r="132">
      <c r="A132" s="17"/>
      <c r="B132" s="17"/>
      <c r="C132" s="17"/>
      <c r="D132" s="17"/>
      <c r="E132" s="17"/>
    </row>
    <row r="133">
      <c r="A133" s="17"/>
      <c r="B133" s="17"/>
      <c r="C133" s="17"/>
      <c r="D133" s="17"/>
      <c r="E133" s="17"/>
    </row>
    <row r="134">
      <c r="A134" s="17"/>
      <c r="B134" s="17"/>
      <c r="C134" s="17"/>
      <c r="D134" s="17"/>
      <c r="E134" s="17"/>
    </row>
    <row r="135">
      <c r="A135" s="17"/>
      <c r="B135" s="17"/>
      <c r="C135" s="17"/>
      <c r="D135" s="17"/>
      <c r="E135" s="17"/>
    </row>
    <row r="136">
      <c r="A136" s="17"/>
      <c r="B136" s="17"/>
      <c r="C136" s="17"/>
      <c r="D136" s="17"/>
      <c r="E136" s="17"/>
    </row>
    <row r="137">
      <c r="A137" s="17"/>
      <c r="B137" s="17"/>
      <c r="C137" s="17"/>
      <c r="D137" s="17"/>
      <c r="E137" s="17"/>
    </row>
    <row r="138">
      <c r="A138" s="17"/>
      <c r="B138" s="17"/>
      <c r="C138" s="17"/>
      <c r="D138" s="17"/>
      <c r="E138" s="17"/>
    </row>
    <row r="139">
      <c r="A139" s="17"/>
      <c r="B139" s="17"/>
      <c r="C139" s="17"/>
      <c r="D139" s="17"/>
      <c r="E139" s="17"/>
    </row>
    <row r="140">
      <c r="A140" s="17"/>
      <c r="B140" s="17"/>
      <c r="C140" s="17"/>
      <c r="D140" s="17"/>
      <c r="E140" s="17"/>
    </row>
    <row r="141">
      <c r="A141" s="17"/>
      <c r="B141" s="17"/>
      <c r="C141" s="17"/>
      <c r="D141" s="17"/>
      <c r="E141" s="17"/>
    </row>
    <row r="142">
      <c r="A142" s="17"/>
      <c r="B142" s="17"/>
      <c r="C142" s="17"/>
      <c r="D142" s="17"/>
      <c r="E142" s="17"/>
    </row>
    <row r="143">
      <c r="A143" s="17"/>
      <c r="B143" s="17"/>
      <c r="C143" s="17"/>
      <c r="D143" s="17"/>
      <c r="E143" s="17"/>
    </row>
    <row r="144">
      <c r="A144" s="17"/>
      <c r="B144" s="17"/>
      <c r="C144" s="17"/>
      <c r="D144" s="17"/>
      <c r="E144" s="17"/>
    </row>
    <row r="145">
      <c r="A145" s="17"/>
      <c r="B145" s="17"/>
      <c r="C145" s="17"/>
      <c r="D145" s="17"/>
      <c r="E145" s="17"/>
    </row>
    <row r="146">
      <c r="A146" s="17"/>
      <c r="B146" s="17"/>
      <c r="C146" s="17"/>
      <c r="D146" s="17"/>
      <c r="E146" s="17"/>
    </row>
    <row r="147">
      <c r="A147" s="17"/>
      <c r="B147" s="17"/>
      <c r="C147" s="17"/>
      <c r="D147" s="17"/>
      <c r="E147" s="17"/>
    </row>
    <row r="148">
      <c r="A148" s="17"/>
      <c r="B148" s="17"/>
      <c r="C148" s="17"/>
      <c r="D148" s="17"/>
      <c r="E148" s="17"/>
    </row>
    <row r="149">
      <c r="A149" s="17"/>
      <c r="B149" s="17"/>
      <c r="C149" s="17"/>
      <c r="D149" s="17"/>
      <c r="E149" s="17"/>
    </row>
    <row r="150">
      <c r="A150" s="17"/>
      <c r="B150" s="17"/>
      <c r="C150" s="17"/>
      <c r="D150" s="17"/>
      <c r="E150" s="17"/>
    </row>
    <row r="151">
      <c r="A151" s="17"/>
      <c r="B151" s="17"/>
      <c r="C151" s="17"/>
      <c r="D151" s="17"/>
      <c r="E151" s="17"/>
    </row>
    <row r="152">
      <c r="A152" s="17"/>
      <c r="B152" s="17"/>
      <c r="C152" s="17"/>
      <c r="D152" s="17"/>
      <c r="E152" s="17"/>
    </row>
    <row r="153">
      <c r="A153" s="17"/>
      <c r="B153" s="17"/>
      <c r="C153" s="17"/>
      <c r="D153" s="17"/>
      <c r="E153" s="17"/>
    </row>
    <row r="154">
      <c r="A154" s="17"/>
      <c r="B154" s="17"/>
      <c r="C154" s="17"/>
      <c r="D154" s="17"/>
      <c r="E154" s="17"/>
    </row>
    <row r="155">
      <c r="A155" s="17"/>
      <c r="B155" s="17"/>
      <c r="C155" s="17"/>
      <c r="D155" s="17"/>
      <c r="E155" s="17"/>
    </row>
    <row r="156">
      <c r="A156" s="17"/>
      <c r="B156" s="17"/>
      <c r="C156" s="17"/>
      <c r="D156" s="17"/>
      <c r="E156" s="17"/>
    </row>
    <row r="157">
      <c r="A157" s="17"/>
      <c r="B157" s="17"/>
      <c r="C157" s="17"/>
      <c r="D157" s="17"/>
      <c r="E157" s="17"/>
    </row>
    <row r="158">
      <c r="A158" s="17"/>
      <c r="B158" s="17"/>
      <c r="C158" s="17"/>
      <c r="D158" s="17"/>
      <c r="E158" s="17"/>
    </row>
    <row r="159">
      <c r="A159" s="17"/>
      <c r="B159" s="17"/>
      <c r="C159" s="17"/>
      <c r="D159" s="17"/>
      <c r="E159" s="17"/>
    </row>
    <row r="160">
      <c r="A160" s="17"/>
      <c r="B160" s="17"/>
      <c r="C160" s="17"/>
      <c r="D160" s="17"/>
      <c r="E160" s="17"/>
    </row>
    <row r="161">
      <c r="A161" s="17"/>
      <c r="B161" s="17"/>
      <c r="C161" s="17"/>
      <c r="D161" s="17"/>
      <c r="E161" s="17"/>
    </row>
    <row r="162">
      <c r="A162" s="17"/>
      <c r="B162" s="17"/>
      <c r="C162" s="17"/>
      <c r="D162" s="17"/>
      <c r="E162" s="17"/>
    </row>
    <row r="163">
      <c r="A163" s="17"/>
      <c r="B163" s="17"/>
      <c r="C163" s="17"/>
      <c r="D163" s="17"/>
      <c r="E163" s="17"/>
    </row>
    <row r="164">
      <c r="A164" s="17"/>
      <c r="B164" s="17"/>
      <c r="C164" s="17"/>
      <c r="D164" s="17"/>
      <c r="E164" s="17"/>
    </row>
    <row r="165">
      <c r="A165" s="17"/>
      <c r="B165" s="17"/>
      <c r="C165" s="17"/>
      <c r="D165" s="17"/>
      <c r="E165" s="17"/>
    </row>
    <row r="166">
      <c r="A166" s="17"/>
      <c r="B166" s="17"/>
      <c r="C166" s="17"/>
      <c r="D166" s="17"/>
      <c r="E166" s="17"/>
    </row>
    <row r="167">
      <c r="A167" s="17"/>
      <c r="B167" s="17"/>
      <c r="C167" s="17"/>
      <c r="D167" s="17"/>
      <c r="E167" s="17"/>
    </row>
    <row r="168">
      <c r="A168" s="17"/>
      <c r="B168" s="17"/>
      <c r="C168" s="17"/>
      <c r="D168" s="17"/>
      <c r="E168" s="17"/>
    </row>
    <row r="169">
      <c r="A169" s="17"/>
      <c r="B169" s="17"/>
      <c r="C169" s="17"/>
      <c r="D169" s="17"/>
      <c r="E169" s="17"/>
    </row>
    <row r="170">
      <c r="A170" s="17"/>
      <c r="B170" s="17"/>
      <c r="C170" s="17"/>
      <c r="D170" s="17"/>
      <c r="E170" s="17"/>
    </row>
    <row r="171">
      <c r="A171" s="17"/>
      <c r="B171" s="17"/>
      <c r="C171" s="17"/>
      <c r="D171" s="17"/>
      <c r="E171" s="17"/>
    </row>
    <row r="172">
      <c r="A172" s="17"/>
      <c r="B172" s="17"/>
      <c r="C172" s="17"/>
      <c r="D172" s="17"/>
      <c r="E172" s="17"/>
    </row>
    <row r="173">
      <c r="A173" s="17"/>
      <c r="B173" s="17"/>
      <c r="C173" s="17"/>
      <c r="D173" s="17"/>
      <c r="E173" s="17"/>
    </row>
    <row r="174">
      <c r="A174" s="17"/>
      <c r="B174" s="17"/>
      <c r="C174" s="17"/>
      <c r="D174" s="17"/>
      <c r="E174" s="17"/>
    </row>
    <row r="175">
      <c r="A175" s="17"/>
      <c r="B175" s="17"/>
      <c r="C175" s="17"/>
      <c r="D175" s="17"/>
      <c r="E175" s="17"/>
    </row>
    <row r="176">
      <c r="A176" s="17"/>
      <c r="B176" s="17"/>
      <c r="C176" s="17"/>
      <c r="D176" s="17"/>
      <c r="E176" s="17"/>
    </row>
    <row r="177">
      <c r="A177" s="17"/>
      <c r="B177" s="17"/>
      <c r="C177" s="17"/>
      <c r="D177" s="17"/>
      <c r="E177" s="17"/>
    </row>
    <row r="178">
      <c r="A178" s="17"/>
      <c r="B178" s="17"/>
      <c r="C178" s="17"/>
      <c r="D178" s="17"/>
      <c r="E178" s="17"/>
    </row>
    <row r="179">
      <c r="A179" s="17"/>
      <c r="B179" s="17"/>
      <c r="C179" s="17"/>
      <c r="D179" s="17"/>
      <c r="E179" s="17"/>
    </row>
    <row r="180">
      <c r="A180" s="17"/>
      <c r="B180" s="17"/>
      <c r="C180" s="17"/>
      <c r="D180" s="17"/>
      <c r="E180" s="17"/>
    </row>
    <row r="181">
      <c r="A181" s="17"/>
      <c r="B181" s="17"/>
      <c r="C181" s="17"/>
      <c r="D181" s="17"/>
      <c r="E181" s="17"/>
    </row>
    <row r="182">
      <c r="A182" s="17"/>
      <c r="B182" s="17"/>
      <c r="C182" s="17"/>
      <c r="D182" s="17"/>
      <c r="E182" s="17"/>
    </row>
    <row r="183">
      <c r="A183" s="17"/>
      <c r="B183" s="17"/>
      <c r="C183" s="17"/>
      <c r="D183" s="17"/>
      <c r="E183" s="17"/>
    </row>
    <row r="184">
      <c r="A184" s="17"/>
      <c r="B184" s="17"/>
      <c r="C184" s="17"/>
      <c r="D184" s="17"/>
      <c r="E184" s="17"/>
    </row>
    <row r="185">
      <c r="A185" s="17"/>
      <c r="B185" s="17"/>
      <c r="C185" s="17"/>
      <c r="D185" s="17"/>
      <c r="E185" s="17"/>
    </row>
    <row r="186">
      <c r="A186" s="17"/>
      <c r="B186" s="17"/>
      <c r="C186" s="17"/>
      <c r="D186" s="17"/>
      <c r="E186" s="17"/>
    </row>
    <row r="187">
      <c r="A187" s="17"/>
      <c r="B187" s="17"/>
      <c r="C187" s="17"/>
      <c r="D187" s="17"/>
      <c r="E187" s="17"/>
    </row>
    <row r="188">
      <c r="A188" s="17"/>
      <c r="B188" s="17"/>
      <c r="C188" s="17"/>
      <c r="D188" s="17"/>
      <c r="E188" s="17"/>
    </row>
    <row r="189">
      <c r="A189" s="17"/>
      <c r="B189" s="17"/>
      <c r="C189" s="17"/>
      <c r="D189" s="17"/>
      <c r="E189" s="17"/>
    </row>
    <row r="190">
      <c r="A190" s="17"/>
      <c r="B190" s="17"/>
      <c r="C190" s="17"/>
      <c r="D190" s="17"/>
      <c r="E190" s="17"/>
    </row>
    <row r="191">
      <c r="A191" s="17"/>
      <c r="B191" s="17"/>
      <c r="C191" s="17"/>
      <c r="D191" s="17"/>
      <c r="E191" s="17"/>
    </row>
    <row r="192">
      <c r="A192" s="17"/>
      <c r="B192" s="17"/>
      <c r="C192" s="17"/>
      <c r="D192" s="17"/>
      <c r="E192" s="17"/>
    </row>
    <row r="193">
      <c r="A193" s="17"/>
      <c r="B193" s="17"/>
      <c r="C193" s="17"/>
      <c r="D193" s="17"/>
      <c r="E193" s="17"/>
    </row>
    <row r="194">
      <c r="A194" s="17"/>
      <c r="B194" s="17"/>
      <c r="C194" s="17"/>
      <c r="D194" s="17"/>
      <c r="E194" s="17"/>
    </row>
    <row r="195">
      <c r="A195" s="17"/>
      <c r="B195" s="17"/>
      <c r="C195" s="17"/>
      <c r="D195" s="17"/>
      <c r="E195" s="17"/>
    </row>
    <row r="196">
      <c r="A196" s="17"/>
      <c r="B196" s="17"/>
      <c r="C196" s="17"/>
      <c r="D196" s="17"/>
      <c r="E196" s="17"/>
    </row>
    <row r="197">
      <c r="A197" s="17"/>
      <c r="B197" s="17"/>
      <c r="C197" s="17"/>
      <c r="D197" s="17"/>
      <c r="E197" s="17"/>
    </row>
    <row r="198">
      <c r="A198" s="17"/>
      <c r="B198" s="17"/>
      <c r="C198" s="17"/>
      <c r="D198" s="17"/>
      <c r="E198" s="17"/>
    </row>
    <row r="199">
      <c r="A199" s="17"/>
      <c r="B199" s="17"/>
      <c r="C199" s="17"/>
      <c r="D199" s="17"/>
      <c r="E199" s="17"/>
    </row>
    <row r="200">
      <c r="A200" s="17"/>
      <c r="B200" s="17"/>
      <c r="C200" s="17"/>
      <c r="D200" s="17"/>
      <c r="E200" s="17"/>
    </row>
    <row r="201">
      <c r="A201" s="17"/>
      <c r="B201" s="17"/>
      <c r="C201" s="17"/>
      <c r="D201" s="17"/>
      <c r="E201" s="17"/>
    </row>
    <row r="202">
      <c r="A202" s="17"/>
      <c r="B202" s="17"/>
      <c r="C202" s="17"/>
      <c r="D202" s="17"/>
      <c r="E202" s="17"/>
    </row>
    <row r="203">
      <c r="A203" s="17"/>
      <c r="B203" s="17"/>
      <c r="C203" s="17"/>
      <c r="D203" s="17"/>
      <c r="E203" s="17"/>
    </row>
    <row r="204">
      <c r="A204" s="17"/>
      <c r="B204" s="17"/>
      <c r="C204" s="17"/>
      <c r="D204" s="17"/>
      <c r="E204" s="17"/>
    </row>
    <row r="205">
      <c r="A205" s="17"/>
      <c r="B205" s="17"/>
      <c r="C205" s="17"/>
      <c r="D205" s="17"/>
      <c r="E205" s="17"/>
    </row>
    <row r="206">
      <c r="A206" s="17"/>
      <c r="B206" s="17"/>
      <c r="C206" s="17"/>
      <c r="D206" s="17"/>
      <c r="E206" s="17"/>
    </row>
    <row r="207">
      <c r="A207" s="17"/>
      <c r="B207" s="17"/>
      <c r="C207" s="17"/>
      <c r="D207" s="17"/>
      <c r="E207" s="17"/>
    </row>
    <row r="208">
      <c r="A208" s="17"/>
      <c r="B208" s="17"/>
      <c r="C208" s="17"/>
      <c r="D208" s="17"/>
      <c r="E208" s="17"/>
    </row>
    <row r="209">
      <c r="A209" s="17"/>
      <c r="B209" s="17"/>
      <c r="C209" s="17"/>
      <c r="D209" s="17"/>
      <c r="E209" s="17"/>
    </row>
    <row r="210">
      <c r="A210" s="17"/>
      <c r="B210" s="17"/>
      <c r="C210" s="17"/>
      <c r="D210" s="17"/>
      <c r="E210" s="17"/>
    </row>
    <row r="211">
      <c r="A211" s="17"/>
      <c r="B211" s="17"/>
      <c r="C211" s="17"/>
      <c r="D211" s="17"/>
      <c r="E211" s="17"/>
    </row>
    <row r="212">
      <c r="A212" s="17"/>
      <c r="B212" s="17"/>
      <c r="C212" s="17"/>
      <c r="D212" s="17"/>
      <c r="E212" s="17"/>
    </row>
    <row r="213">
      <c r="A213" s="17"/>
      <c r="B213" s="17"/>
      <c r="C213" s="17"/>
      <c r="D213" s="17"/>
      <c r="E213" s="17"/>
    </row>
    <row r="214">
      <c r="A214" s="17"/>
      <c r="B214" s="17"/>
      <c r="C214" s="17"/>
      <c r="D214" s="17"/>
      <c r="E214" s="17"/>
    </row>
    <row r="215">
      <c r="A215" s="17"/>
      <c r="B215" s="17"/>
      <c r="C215" s="17"/>
      <c r="D215" s="17"/>
      <c r="E215" s="17"/>
    </row>
    <row r="216">
      <c r="A216" s="17"/>
      <c r="B216" s="17"/>
      <c r="C216" s="17"/>
      <c r="D216" s="17"/>
      <c r="E216" s="17"/>
    </row>
    <row r="217">
      <c r="A217" s="17"/>
      <c r="B217" s="17"/>
      <c r="C217" s="17"/>
      <c r="D217" s="17"/>
      <c r="E217" s="17"/>
    </row>
    <row r="218">
      <c r="A218" s="17"/>
      <c r="B218" s="17"/>
      <c r="C218" s="17"/>
      <c r="D218" s="17"/>
      <c r="E218" s="17"/>
    </row>
    <row r="219">
      <c r="A219" s="17"/>
      <c r="B219" s="17"/>
      <c r="C219" s="17"/>
      <c r="D219" s="17"/>
      <c r="E219" s="17"/>
    </row>
    <row r="220">
      <c r="A220" s="17"/>
      <c r="B220" s="17"/>
      <c r="C220" s="17"/>
      <c r="D220" s="17"/>
      <c r="E220" s="17"/>
    </row>
    <row r="221">
      <c r="A221" s="17"/>
      <c r="B221" s="17"/>
      <c r="C221" s="17"/>
      <c r="D221" s="17"/>
      <c r="E221" s="17"/>
    </row>
    <row r="222">
      <c r="A222" s="17"/>
      <c r="B222" s="17"/>
      <c r="C222" s="17"/>
      <c r="D222" s="17"/>
      <c r="E222" s="17"/>
    </row>
    <row r="223">
      <c r="A223" s="17"/>
      <c r="B223" s="17"/>
      <c r="C223" s="17"/>
      <c r="D223" s="17"/>
      <c r="E223" s="17"/>
    </row>
    <row r="224">
      <c r="A224" s="17"/>
      <c r="B224" s="17"/>
      <c r="C224" s="17"/>
      <c r="D224" s="17"/>
      <c r="E224" s="17"/>
    </row>
    <row r="225">
      <c r="A225" s="17"/>
      <c r="B225" s="17"/>
      <c r="C225" s="17"/>
      <c r="D225" s="17"/>
      <c r="E225" s="17"/>
    </row>
    <row r="226">
      <c r="A226" s="17"/>
      <c r="B226" s="17"/>
      <c r="C226" s="17"/>
      <c r="D226" s="17"/>
      <c r="E226" s="17"/>
    </row>
    <row r="227">
      <c r="A227" s="17"/>
      <c r="B227" s="17"/>
      <c r="C227" s="17"/>
      <c r="D227" s="17"/>
      <c r="E227" s="17"/>
    </row>
    <row r="228">
      <c r="A228" s="17"/>
      <c r="B228" s="17"/>
      <c r="C228" s="17"/>
      <c r="D228" s="17"/>
      <c r="E228" s="17"/>
    </row>
    <row r="229">
      <c r="A229" s="17"/>
      <c r="B229" s="17"/>
      <c r="C229" s="17"/>
      <c r="D229" s="17"/>
      <c r="E229" s="17"/>
    </row>
    <row r="230">
      <c r="A230" s="17"/>
      <c r="B230" s="17"/>
      <c r="C230" s="17"/>
      <c r="D230" s="17"/>
      <c r="E230" s="17"/>
    </row>
    <row r="231">
      <c r="A231" s="17"/>
      <c r="B231" s="17"/>
      <c r="C231" s="17"/>
      <c r="D231" s="17"/>
      <c r="E231" s="17"/>
    </row>
    <row r="232">
      <c r="A232" s="17"/>
      <c r="B232" s="17"/>
      <c r="C232" s="17"/>
      <c r="D232" s="17"/>
      <c r="E232" s="17"/>
    </row>
    <row r="233">
      <c r="A233" s="17"/>
      <c r="B233" s="17"/>
      <c r="C233" s="17"/>
      <c r="D233" s="17"/>
      <c r="E233" s="17"/>
    </row>
    <row r="234">
      <c r="A234" s="17"/>
      <c r="B234" s="17"/>
      <c r="C234" s="17"/>
      <c r="D234" s="17"/>
      <c r="E234" s="17"/>
    </row>
    <row r="235">
      <c r="A235" s="17"/>
      <c r="B235" s="17"/>
      <c r="C235" s="17"/>
      <c r="D235" s="17"/>
      <c r="E235" s="17"/>
    </row>
    <row r="236">
      <c r="A236" s="17"/>
      <c r="B236" s="17"/>
      <c r="C236" s="17"/>
      <c r="D236" s="17"/>
      <c r="E236" s="17"/>
    </row>
    <row r="237">
      <c r="A237" s="17"/>
      <c r="B237" s="17"/>
      <c r="C237" s="17"/>
      <c r="D237" s="17"/>
      <c r="E237" s="17"/>
    </row>
    <row r="238">
      <c r="A238" s="17"/>
      <c r="B238" s="17"/>
      <c r="C238" s="17"/>
      <c r="D238" s="17"/>
      <c r="E238" s="17"/>
    </row>
    <row r="239">
      <c r="A239" s="17"/>
      <c r="B239" s="17"/>
      <c r="C239" s="17"/>
      <c r="D239" s="17"/>
      <c r="E239" s="17"/>
    </row>
    <row r="240">
      <c r="A240" s="17"/>
      <c r="B240" s="17"/>
      <c r="C240" s="17"/>
      <c r="D240" s="17"/>
      <c r="E240" s="17"/>
    </row>
    <row r="241">
      <c r="A241" s="17"/>
      <c r="B241" s="17"/>
      <c r="C241" s="17"/>
      <c r="D241" s="17"/>
      <c r="E241" s="17"/>
    </row>
    <row r="242">
      <c r="A242" s="17"/>
      <c r="B242" s="17"/>
      <c r="C242" s="17"/>
      <c r="D242" s="17"/>
      <c r="E242" s="17"/>
    </row>
    <row r="243">
      <c r="A243" s="17"/>
      <c r="B243" s="17"/>
      <c r="C243" s="17"/>
      <c r="D243" s="17"/>
      <c r="E243" s="17"/>
    </row>
    <row r="244">
      <c r="A244" s="17"/>
      <c r="B244" s="17"/>
      <c r="C244" s="17"/>
      <c r="D244" s="17"/>
      <c r="E244" s="17"/>
    </row>
    <row r="245">
      <c r="A245" s="17"/>
      <c r="B245" s="17"/>
      <c r="C245" s="17"/>
      <c r="D245" s="17"/>
      <c r="E245" s="17"/>
    </row>
    <row r="246">
      <c r="A246" s="17"/>
      <c r="B246" s="17"/>
      <c r="C246" s="17"/>
      <c r="D246" s="17"/>
      <c r="E246" s="17"/>
    </row>
    <row r="247">
      <c r="A247" s="17"/>
      <c r="B247" s="17"/>
      <c r="C247" s="17"/>
      <c r="D247" s="17"/>
      <c r="E247" s="17"/>
    </row>
    <row r="248">
      <c r="A248" s="17"/>
      <c r="B248" s="17"/>
      <c r="C248" s="17"/>
      <c r="D248" s="17"/>
      <c r="E248" s="17"/>
    </row>
    <row r="249">
      <c r="A249" s="17"/>
      <c r="B249" s="17"/>
      <c r="C249" s="17"/>
      <c r="D249" s="17"/>
      <c r="E249" s="17"/>
    </row>
    <row r="250">
      <c r="A250" s="17"/>
      <c r="B250" s="17"/>
      <c r="C250" s="17"/>
      <c r="D250" s="17"/>
      <c r="E250" s="17"/>
    </row>
    <row r="251">
      <c r="A251" s="17"/>
      <c r="B251" s="17"/>
      <c r="C251" s="17"/>
      <c r="D251" s="17"/>
      <c r="E251" s="17"/>
    </row>
    <row r="252">
      <c r="A252" s="17"/>
      <c r="B252" s="17"/>
      <c r="C252" s="17"/>
      <c r="D252" s="17"/>
      <c r="E252" s="17"/>
    </row>
    <row r="253">
      <c r="A253" s="17"/>
      <c r="B253" s="17"/>
      <c r="C253" s="17"/>
      <c r="D253" s="17"/>
      <c r="E253" s="17"/>
    </row>
    <row r="254">
      <c r="A254" s="17"/>
      <c r="B254" s="17"/>
      <c r="C254" s="17"/>
      <c r="D254" s="17"/>
      <c r="E254" s="17"/>
    </row>
    <row r="255">
      <c r="A255" s="17"/>
      <c r="B255" s="17"/>
      <c r="C255" s="17"/>
      <c r="D255" s="17"/>
      <c r="E255" s="17"/>
    </row>
    <row r="256">
      <c r="A256" s="17"/>
      <c r="B256" s="17"/>
      <c r="C256" s="17"/>
      <c r="D256" s="17"/>
      <c r="E256" s="17"/>
    </row>
    <row r="257">
      <c r="A257" s="17"/>
      <c r="B257" s="17"/>
      <c r="C257" s="17"/>
      <c r="D257" s="17"/>
      <c r="E257" s="17"/>
    </row>
    <row r="258">
      <c r="A258" s="17"/>
      <c r="B258" s="17"/>
      <c r="C258" s="17"/>
      <c r="D258" s="17"/>
      <c r="E258" s="17"/>
    </row>
    <row r="259">
      <c r="A259" s="17"/>
      <c r="B259" s="17"/>
      <c r="C259" s="17"/>
      <c r="D259" s="17"/>
      <c r="E259" s="17"/>
    </row>
    <row r="260">
      <c r="A260" s="17"/>
      <c r="B260" s="17"/>
      <c r="C260" s="17"/>
      <c r="D260" s="17"/>
      <c r="E260" s="17"/>
    </row>
    <row r="261">
      <c r="A261" s="17"/>
      <c r="B261" s="17"/>
      <c r="C261" s="17"/>
      <c r="D261" s="17"/>
      <c r="E261" s="17"/>
    </row>
    <row r="262">
      <c r="A262" s="17"/>
      <c r="B262" s="17"/>
      <c r="C262" s="17"/>
      <c r="D262" s="17"/>
      <c r="E262" s="17"/>
    </row>
    <row r="263">
      <c r="A263" s="17"/>
      <c r="B263" s="17"/>
      <c r="C263" s="17"/>
      <c r="D263" s="17"/>
      <c r="E263" s="17"/>
    </row>
    <row r="264">
      <c r="A264" s="17"/>
      <c r="B264" s="17"/>
      <c r="C264" s="17"/>
      <c r="D264" s="17"/>
      <c r="E264" s="17"/>
    </row>
    <row r="265">
      <c r="A265" s="17"/>
      <c r="B265" s="17"/>
      <c r="C265" s="17"/>
      <c r="D265" s="17"/>
      <c r="E265" s="17"/>
    </row>
    <row r="266">
      <c r="A266" s="17"/>
      <c r="B266" s="17"/>
      <c r="C266" s="17"/>
      <c r="D266" s="17"/>
      <c r="E266" s="17"/>
    </row>
    <row r="267">
      <c r="A267" s="17"/>
      <c r="B267" s="17"/>
      <c r="C267" s="17"/>
      <c r="D267" s="17"/>
      <c r="E267" s="17"/>
    </row>
    <row r="268">
      <c r="A268" s="17"/>
      <c r="B268" s="17"/>
      <c r="C268" s="17"/>
      <c r="D268" s="17"/>
      <c r="E268" s="17"/>
    </row>
    <row r="269">
      <c r="A269" s="17"/>
      <c r="B269" s="17"/>
      <c r="C269" s="17"/>
      <c r="D269" s="17"/>
      <c r="E269" s="17"/>
    </row>
    <row r="270">
      <c r="A270" s="17"/>
      <c r="B270" s="17"/>
      <c r="C270" s="17"/>
      <c r="D270" s="17"/>
      <c r="E270" s="17"/>
    </row>
    <row r="271">
      <c r="A271" s="17"/>
      <c r="B271" s="17"/>
      <c r="C271" s="17"/>
      <c r="D271" s="17"/>
      <c r="E271" s="17"/>
    </row>
    <row r="272">
      <c r="A272" s="17"/>
      <c r="B272" s="17"/>
      <c r="C272" s="17"/>
      <c r="D272" s="17"/>
      <c r="E272" s="17"/>
    </row>
    <row r="273">
      <c r="A273" s="17"/>
      <c r="B273" s="17"/>
      <c r="C273" s="17"/>
      <c r="D273" s="17"/>
      <c r="E273" s="17"/>
    </row>
    <row r="274">
      <c r="A274" s="17"/>
      <c r="B274" s="17"/>
      <c r="C274" s="17"/>
      <c r="D274" s="17"/>
      <c r="E274" s="17"/>
    </row>
    <row r="275">
      <c r="A275" s="17"/>
      <c r="B275" s="17"/>
      <c r="C275" s="17"/>
      <c r="D275" s="17"/>
      <c r="E275" s="17"/>
    </row>
    <row r="276">
      <c r="A276" s="17"/>
      <c r="B276" s="17"/>
      <c r="C276" s="17"/>
      <c r="D276" s="17"/>
      <c r="E276" s="17"/>
    </row>
    <row r="277">
      <c r="A277" s="17"/>
      <c r="B277" s="17"/>
      <c r="C277" s="17"/>
      <c r="D277" s="17"/>
      <c r="E277" s="17"/>
    </row>
    <row r="278">
      <c r="A278" s="17"/>
      <c r="B278" s="17"/>
      <c r="C278" s="17"/>
      <c r="D278" s="17"/>
      <c r="E278" s="17"/>
    </row>
    <row r="279">
      <c r="A279" s="17"/>
      <c r="B279" s="17"/>
      <c r="C279" s="17"/>
      <c r="D279" s="17"/>
      <c r="E279" s="17"/>
    </row>
    <row r="280">
      <c r="A280" s="17"/>
      <c r="B280" s="17"/>
      <c r="C280" s="17"/>
      <c r="D280" s="17"/>
      <c r="E280" s="17"/>
    </row>
    <row r="281">
      <c r="A281" s="17"/>
      <c r="B281" s="17"/>
      <c r="C281" s="17"/>
      <c r="D281" s="17"/>
      <c r="E281" s="17"/>
    </row>
    <row r="282">
      <c r="A282" s="17"/>
      <c r="B282" s="17"/>
      <c r="C282" s="17"/>
      <c r="D282" s="17"/>
      <c r="E282" s="17"/>
    </row>
    <row r="283">
      <c r="A283" s="17"/>
      <c r="B283" s="17"/>
      <c r="C283" s="17"/>
      <c r="D283" s="17"/>
      <c r="E283" s="17"/>
    </row>
    <row r="284">
      <c r="A284" s="17"/>
      <c r="B284" s="17"/>
      <c r="C284" s="17"/>
      <c r="D284" s="17"/>
      <c r="E284" s="17"/>
    </row>
    <row r="285">
      <c r="A285" s="17"/>
      <c r="B285" s="17"/>
      <c r="C285" s="17"/>
      <c r="D285" s="17"/>
      <c r="E285" s="17"/>
    </row>
    <row r="286">
      <c r="A286" s="17"/>
      <c r="B286" s="17"/>
      <c r="C286" s="17"/>
      <c r="D286" s="17"/>
      <c r="E286" s="17"/>
    </row>
    <row r="287">
      <c r="A287" s="17"/>
      <c r="B287" s="17"/>
      <c r="C287" s="17"/>
      <c r="D287" s="17"/>
      <c r="E287" s="17"/>
    </row>
    <row r="288">
      <c r="A288" s="17"/>
      <c r="B288" s="17"/>
      <c r="C288" s="17"/>
      <c r="D288" s="17"/>
      <c r="E288" s="17"/>
    </row>
    <row r="289">
      <c r="A289" s="17"/>
      <c r="B289" s="17"/>
      <c r="C289" s="17"/>
      <c r="D289" s="17"/>
      <c r="E289" s="17"/>
    </row>
    <row r="290">
      <c r="A290" s="17"/>
      <c r="B290" s="17"/>
      <c r="C290" s="17"/>
      <c r="D290" s="17"/>
      <c r="E290" s="17"/>
    </row>
    <row r="291">
      <c r="A291" s="17"/>
      <c r="B291" s="17"/>
      <c r="C291" s="17"/>
      <c r="D291" s="17"/>
      <c r="E291" s="17"/>
    </row>
    <row r="292">
      <c r="A292" s="17"/>
      <c r="B292" s="17"/>
      <c r="C292" s="17"/>
      <c r="D292" s="17"/>
      <c r="E292" s="17"/>
    </row>
    <row r="293">
      <c r="A293" s="17"/>
      <c r="B293" s="17"/>
      <c r="C293" s="17"/>
      <c r="D293" s="17"/>
      <c r="E293" s="17"/>
    </row>
    <row r="294">
      <c r="A294" s="17"/>
      <c r="B294" s="17"/>
      <c r="C294" s="17"/>
      <c r="D294" s="17"/>
      <c r="E294" s="17"/>
    </row>
    <row r="295">
      <c r="A295" s="17"/>
      <c r="B295" s="17"/>
      <c r="C295" s="17"/>
      <c r="D295" s="17"/>
      <c r="E295" s="17"/>
    </row>
    <row r="296">
      <c r="A296" s="17"/>
      <c r="B296" s="17"/>
      <c r="C296" s="17"/>
      <c r="D296" s="17"/>
      <c r="E296" s="17"/>
    </row>
    <row r="297">
      <c r="A297" s="17"/>
      <c r="B297" s="17"/>
      <c r="C297" s="17"/>
      <c r="D297" s="17"/>
      <c r="E297" s="17"/>
    </row>
    <row r="298">
      <c r="A298" s="17"/>
      <c r="B298" s="17"/>
      <c r="C298" s="17"/>
      <c r="D298" s="17"/>
      <c r="E298" s="17"/>
    </row>
    <row r="299">
      <c r="A299" s="17"/>
      <c r="B299" s="17"/>
      <c r="C299" s="17"/>
      <c r="D299" s="17"/>
      <c r="E299" s="17"/>
    </row>
    <row r="300">
      <c r="A300" s="17"/>
      <c r="B300" s="17"/>
      <c r="C300" s="17"/>
      <c r="D300" s="17"/>
      <c r="E300" s="17"/>
    </row>
    <row r="301">
      <c r="A301" s="17"/>
      <c r="B301" s="17"/>
      <c r="C301" s="17"/>
      <c r="D301" s="17"/>
      <c r="E301" s="17"/>
    </row>
    <row r="302">
      <c r="A302" s="17"/>
      <c r="B302" s="17"/>
      <c r="C302" s="17"/>
      <c r="D302" s="17"/>
      <c r="E302" s="17"/>
    </row>
    <row r="303">
      <c r="A303" s="17"/>
      <c r="B303" s="17"/>
      <c r="C303" s="17"/>
      <c r="D303" s="17"/>
      <c r="E303" s="17"/>
    </row>
    <row r="304">
      <c r="A304" s="17"/>
      <c r="B304" s="17"/>
      <c r="C304" s="17"/>
      <c r="D304" s="17"/>
      <c r="E304" s="17"/>
    </row>
    <row r="305">
      <c r="A305" s="17"/>
      <c r="B305" s="17"/>
      <c r="C305" s="17"/>
      <c r="D305" s="17"/>
      <c r="E305" s="17"/>
    </row>
    <row r="306">
      <c r="A306" s="17"/>
      <c r="B306" s="17"/>
      <c r="C306" s="17"/>
      <c r="D306" s="17"/>
      <c r="E306" s="17"/>
    </row>
    <row r="307">
      <c r="A307" s="17"/>
      <c r="B307" s="17"/>
      <c r="C307" s="17"/>
      <c r="D307" s="17"/>
      <c r="E307" s="17"/>
    </row>
    <row r="308">
      <c r="A308" s="17"/>
      <c r="B308" s="17"/>
      <c r="C308" s="17"/>
      <c r="D308" s="17"/>
      <c r="E308" s="17"/>
    </row>
    <row r="309">
      <c r="A309" s="17"/>
      <c r="B309" s="17"/>
      <c r="C309" s="17"/>
      <c r="D309" s="17"/>
      <c r="E309" s="17"/>
    </row>
    <row r="310">
      <c r="A310" s="17"/>
      <c r="B310" s="17"/>
      <c r="C310" s="17"/>
      <c r="D310" s="17"/>
      <c r="E310" s="17"/>
    </row>
    <row r="311">
      <c r="A311" s="17"/>
      <c r="B311" s="17"/>
      <c r="C311" s="17"/>
      <c r="D311" s="17"/>
      <c r="E311" s="17"/>
    </row>
    <row r="312">
      <c r="A312" s="17"/>
      <c r="B312" s="17"/>
      <c r="C312" s="17"/>
      <c r="D312" s="17"/>
      <c r="E312" s="17"/>
    </row>
    <row r="313">
      <c r="A313" s="17"/>
      <c r="B313" s="17"/>
      <c r="C313" s="17"/>
      <c r="D313" s="17"/>
      <c r="E313" s="17"/>
    </row>
    <row r="314">
      <c r="A314" s="17"/>
      <c r="B314" s="17"/>
      <c r="C314" s="17"/>
      <c r="D314" s="17"/>
      <c r="E314" s="17"/>
    </row>
    <row r="315">
      <c r="A315" s="17"/>
      <c r="B315" s="17"/>
      <c r="C315" s="17"/>
      <c r="D315" s="17"/>
      <c r="E315" s="17"/>
    </row>
    <row r="316">
      <c r="A316" s="17"/>
      <c r="B316" s="17"/>
      <c r="C316" s="17"/>
      <c r="D316" s="17"/>
      <c r="E316" s="17"/>
    </row>
    <row r="317">
      <c r="A317" s="17"/>
      <c r="B317" s="17"/>
      <c r="C317" s="17"/>
      <c r="D317" s="17"/>
      <c r="E317" s="17"/>
    </row>
    <row r="318">
      <c r="A318" s="17"/>
      <c r="B318" s="17"/>
      <c r="C318" s="17"/>
      <c r="D318" s="17"/>
      <c r="E318" s="17"/>
    </row>
    <row r="319">
      <c r="A319" s="17"/>
      <c r="B319" s="17"/>
      <c r="C319" s="17"/>
      <c r="D319" s="17"/>
      <c r="E319" s="17"/>
    </row>
    <row r="320">
      <c r="A320" s="17"/>
      <c r="B320" s="17"/>
      <c r="C320" s="17"/>
      <c r="D320" s="17"/>
      <c r="E320" s="17"/>
    </row>
    <row r="321">
      <c r="A321" s="17"/>
      <c r="B321" s="17"/>
      <c r="C321" s="17"/>
      <c r="D321" s="17"/>
      <c r="E321" s="17"/>
    </row>
    <row r="322">
      <c r="A322" s="17"/>
      <c r="B322" s="17"/>
      <c r="C322" s="17"/>
      <c r="D322" s="17"/>
      <c r="E322" s="17"/>
    </row>
    <row r="323">
      <c r="A323" s="17"/>
      <c r="B323" s="17"/>
      <c r="C323" s="17"/>
      <c r="D323" s="17"/>
      <c r="E323" s="17"/>
    </row>
    <row r="324">
      <c r="A324" s="17"/>
      <c r="B324" s="17"/>
      <c r="C324" s="17"/>
      <c r="D324" s="17"/>
      <c r="E324" s="17"/>
    </row>
    <row r="325">
      <c r="A325" s="17"/>
      <c r="B325" s="17"/>
      <c r="C325" s="17"/>
      <c r="D325" s="17"/>
      <c r="E325" s="17"/>
    </row>
    <row r="326">
      <c r="A326" s="17"/>
      <c r="B326" s="17"/>
      <c r="C326" s="17"/>
      <c r="D326" s="17"/>
      <c r="E326" s="17"/>
    </row>
    <row r="327">
      <c r="A327" s="17"/>
      <c r="B327" s="17"/>
      <c r="C327" s="17"/>
      <c r="D327" s="17"/>
      <c r="E327" s="17"/>
    </row>
    <row r="328">
      <c r="A328" s="17"/>
      <c r="B328" s="17"/>
      <c r="C328" s="17"/>
      <c r="D328" s="17"/>
      <c r="E328" s="17"/>
    </row>
    <row r="329">
      <c r="A329" s="17"/>
      <c r="B329" s="17"/>
      <c r="C329" s="17"/>
      <c r="D329" s="17"/>
      <c r="E329" s="17"/>
    </row>
    <row r="330">
      <c r="A330" s="17"/>
      <c r="B330" s="17"/>
      <c r="C330" s="17"/>
      <c r="D330" s="17"/>
      <c r="E330" s="17"/>
    </row>
    <row r="331">
      <c r="A331" s="17"/>
      <c r="B331" s="17"/>
      <c r="C331" s="17"/>
      <c r="D331" s="17"/>
      <c r="E331" s="17"/>
    </row>
    <row r="332">
      <c r="A332" s="17"/>
      <c r="B332" s="17"/>
      <c r="C332" s="17"/>
      <c r="D332" s="17"/>
      <c r="E332" s="17"/>
    </row>
    <row r="333">
      <c r="A333" s="17"/>
      <c r="B333" s="17"/>
      <c r="C333" s="17"/>
      <c r="D333" s="17"/>
      <c r="E333" s="17"/>
    </row>
    <row r="334">
      <c r="A334" s="17"/>
      <c r="B334" s="17"/>
      <c r="C334" s="17"/>
      <c r="D334" s="17"/>
      <c r="E334" s="17"/>
    </row>
    <row r="335">
      <c r="A335" s="17"/>
      <c r="B335" s="17"/>
      <c r="C335" s="17"/>
      <c r="D335" s="17"/>
      <c r="E335" s="17"/>
    </row>
    <row r="336">
      <c r="A336" s="17"/>
      <c r="B336" s="17"/>
      <c r="C336" s="17"/>
      <c r="D336" s="17"/>
      <c r="E336" s="17"/>
    </row>
    <row r="337">
      <c r="A337" s="17"/>
      <c r="B337" s="17"/>
      <c r="C337" s="17"/>
      <c r="D337" s="17"/>
      <c r="E337" s="17"/>
    </row>
    <row r="338">
      <c r="A338" s="17"/>
      <c r="B338" s="17"/>
      <c r="C338" s="17"/>
      <c r="D338" s="17"/>
      <c r="E338" s="17"/>
    </row>
    <row r="339">
      <c r="A339" s="17"/>
      <c r="B339" s="17"/>
      <c r="C339" s="17"/>
      <c r="D339" s="17"/>
      <c r="E339" s="17"/>
    </row>
    <row r="340">
      <c r="A340" s="17"/>
      <c r="B340" s="17"/>
      <c r="C340" s="17"/>
      <c r="D340" s="17"/>
      <c r="E340" s="17"/>
    </row>
    <row r="341">
      <c r="A341" s="17"/>
      <c r="B341" s="17"/>
      <c r="C341" s="17"/>
      <c r="D341" s="17"/>
      <c r="E341" s="17"/>
    </row>
    <row r="342">
      <c r="A342" s="17"/>
      <c r="B342" s="17"/>
      <c r="C342" s="17"/>
      <c r="D342" s="17"/>
      <c r="E342" s="17"/>
    </row>
    <row r="343">
      <c r="A343" s="17"/>
      <c r="B343" s="17"/>
      <c r="C343" s="17"/>
      <c r="D343" s="17"/>
      <c r="E343" s="17"/>
    </row>
    <row r="344">
      <c r="A344" s="17"/>
      <c r="B344" s="17"/>
      <c r="C344" s="17"/>
      <c r="D344" s="17"/>
      <c r="E344" s="17"/>
    </row>
    <row r="345">
      <c r="A345" s="17"/>
      <c r="B345" s="17"/>
      <c r="C345" s="17"/>
      <c r="D345" s="17"/>
      <c r="E345" s="17"/>
    </row>
    <row r="346">
      <c r="A346" s="17"/>
      <c r="B346" s="17"/>
      <c r="C346" s="17"/>
      <c r="D346" s="17"/>
      <c r="E346" s="17"/>
    </row>
    <row r="347">
      <c r="A347" s="17"/>
      <c r="B347" s="17"/>
      <c r="C347" s="17"/>
      <c r="D347" s="17"/>
      <c r="E347" s="17"/>
    </row>
    <row r="348">
      <c r="A348" s="17"/>
      <c r="B348" s="17"/>
      <c r="C348" s="17"/>
      <c r="D348" s="17"/>
      <c r="E348" s="17"/>
    </row>
    <row r="349">
      <c r="A349" s="17"/>
      <c r="B349" s="17"/>
      <c r="C349" s="17"/>
      <c r="D349" s="17"/>
      <c r="E349" s="17"/>
    </row>
    <row r="350">
      <c r="A350" s="17"/>
      <c r="B350" s="17"/>
      <c r="C350" s="17"/>
      <c r="D350" s="17"/>
      <c r="E350" s="17"/>
    </row>
    <row r="351">
      <c r="A351" s="17"/>
      <c r="B351" s="17"/>
      <c r="C351" s="17"/>
      <c r="D351" s="17"/>
      <c r="E351" s="17"/>
    </row>
    <row r="352">
      <c r="A352" s="17"/>
      <c r="B352" s="17"/>
      <c r="C352" s="17"/>
      <c r="D352" s="17"/>
      <c r="E352" s="17"/>
    </row>
    <row r="353">
      <c r="A353" s="17"/>
      <c r="B353" s="17"/>
      <c r="C353" s="17"/>
      <c r="D353" s="17"/>
      <c r="E353" s="17"/>
    </row>
    <row r="354">
      <c r="A354" s="17"/>
      <c r="B354" s="17"/>
      <c r="C354" s="17"/>
      <c r="D354" s="17"/>
      <c r="E354" s="17"/>
    </row>
    <row r="355">
      <c r="A355" s="17"/>
      <c r="B355" s="17"/>
      <c r="C355" s="17"/>
      <c r="D355" s="17"/>
      <c r="E355" s="17"/>
    </row>
    <row r="356">
      <c r="A356" s="17"/>
      <c r="B356" s="17"/>
      <c r="C356" s="17"/>
      <c r="D356" s="17"/>
      <c r="E356" s="17"/>
    </row>
    <row r="357">
      <c r="A357" s="17"/>
      <c r="B357" s="17"/>
      <c r="C357" s="17"/>
      <c r="D357" s="17"/>
      <c r="E357" s="17"/>
    </row>
    <row r="358">
      <c r="A358" s="17"/>
      <c r="B358" s="17"/>
      <c r="C358" s="17"/>
      <c r="D358" s="17"/>
      <c r="E358" s="17"/>
    </row>
    <row r="359">
      <c r="A359" s="17"/>
      <c r="B359" s="17"/>
      <c r="C359" s="17"/>
      <c r="D359" s="17"/>
      <c r="E359" s="17"/>
    </row>
    <row r="360">
      <c r="A360" s="17"/>
      <c r="B360" s="17"/>
      <c r="C360" s="17"/>
      <c r="D360" s="17"/>
      <c r="E360" s="17"/>
    </row>
    <row r="361">
      <c r="A361" s="17"/>
      <c r="B361" s="17"/>
      <c r="C361" s="17"/>
      <c r="D361" s="17"/>
      <c r="E361" s="17"/>
    </row>
    <row r="362">
      <c r="A362" s="17"/>
      <c r="B362" s="17"/>
      <c r="C362" s="17"/>
      <c r="D362" s="17"/>
      <c r="E362" s="17"/>
    </row>
    <row r="363">
      <c r="A363" s="17"/>
      <c r="B363" s="17"/>
      <c r="C363" s="17"/>
      <c r="D363" s="17"/>
      <c r="E363" s="17"/>
    </row>
    <row r="364">
      <c r="A364" s="17"/>
      <c r="B364" s="17"/>
      <c r="C364" s="17"/>
      <c r="D364" s="17"/>
      <c r="E364" s="17"/>
    </row>
    <row r="365">
      <c r="A365" s="17"/>
      <c r="B365" s="17"/>
      <c r="C365" s="17"/>
      <c r="D365" s="17"/>
      <c r="E365" s="17"/>
    </row>
    <row r="366">
      <c r="A366" s="17"/>
      <c r="B366" s="17"/>
      <c r="C366" s="17"/>
      <c r="D366" s="17"/>
      <c r="E366" s="17"/>
    </row>
    <row r="367">
      <c r="A367" s="17"/>
      <c r="B367" s="17"/>
      <c r="C367" s="17"/>
      <c r="D367" s="17"/>
      <c r="E367" s="17"/>
    </row>
    <row r="368">
      <c r="A368" s="17"/>
      <c r="B368" s="17"/>
      <c r="C368" s="17"/>
      <c r="D368" s="17"/>
      <c r="E368" s="17"/>
    </row>
    <row r="369">
      <c r="A369" s="17"/>
      <c r="B369" s="17"/>
      <c r="C369" s="17"/>
      <c r="D369" s="17"/>
      <c r="E369" s="17"/>
    </row>
    <row r="370">
      <c r="A370" s="17"/>
      <c r="B370" s="17"/>
      <c r="C370" s="17"/>
      <c r="D370" s="17"/>
      <c r="E370" s="17"/>
    </row>
    <row r="371">
      <c r="A371" s="17"/>
      <c r="B371" s="17"/>
      <c r="C371" s="17"/>
      <c r="D371" s="17"/>
      <c r="E371" s="17"/>
    </row>
    <row r="372">
      <c r="A372" s="17"/>
      <c r="B372" s="17"/>
      <c r="C372" s="17"/>
      <c r="D372" s="17"/>
      <c r="E372" s="17"/>
    </row>
    <row r="373">
      <c r="A373" s="17"/>
      <c r="B373" s="17"/>
      <c r="C373" s="17"/>
      <c r="D373" s="17"/>
      <c r="E373" s="17"/>
    </row>
    <row r="374">
      <c r="A374" s="17"/>
      <c r="B374" s="17"/>
      <c r="C374" s="17"/>
      <c r="D374" s="17"/>
      <c r="E374" s="17"/>
    </row>
    <row r="375">
      <c r="A375" s="17"/>
      <c r="B375" s="17"/>
      <c r="C375" s="17"/>
      <c r="D375" s="17"/>
      <c r="E375" s="17"/>
    </row>
    <row r="376">
      <c r="A376" s="17"/>
      <c r="B376" s="17"/>
      <c r="C376" s="17"/>
      <c r="D376" s="17"/>
      <c r="E376" s="17"/>
    </row>
    <row r="377">
      <c r="A377" s="17"/>
      <c r="B377" s="17"/>
      <c r="C377" s="17"/>
      <c r="D377" s="17"/>
      <c r="E377" s="17"/>
    </row>
    <row r="378">
      <c r="A378" s="17"/>
      <c r="B378" s="17"/>
      <c r="C378" s="17"/>
      <c r="D378" s="17"/>
      <c r="E378" s="17"/>
    </row>
    <row r="379">
      <c r="A379" s="17"/>
      <c r="B379" s="17"/>
      <c r="C379" s="17"/>
      <c r="D379" s="17"/>
      <c r="E379" s="17"/>
    </row>
    <row r="380">
      <c r="A380" s="17"/>
      <c r="B380" s="17"/>
      <c r="C380" s="17"/>
      <c r="D380" s="17"/>
      <c r="E380" s="17"/>
    </row>
    <row r="381">
      <c r="A381" s="17"/>
      <c r="B381" s="17"/>
      <c r="C381" s="17"/>
      <c r="D381" s="17"/>
      <c r="E381" s="17"/>
    </row>
    <row r="382">
      <c r="A382" s="17"/>
      <c r="B382" s="17"/>
      <c r="C382" s="17"/>
      <c r="D382" s="17"/>
      <c r="E382" s="17"/>
    </row>
    <row r="383">
      <c r="A383" s="17"/>
      <c r="B383" s="17"/>
      <c r="C383" s="17"/>
      <c r="D383" s="17"/>
      <c r="E383" s="17"/>
    </row>
    <row r="384">
      <c r="A384" s="17"/>
      <c r="B384" s="17"/>
      <c r="C384" s="17"/>
      <c r="D384" s="17"/>
      <c r="E384" s="17"/>
    </row>
    <row r="385">
      <c r="A385" s="17"/>
      <c r="B385" s="17"/>
      <c r="C385" s="17"/>
      <c r="D385" s="17"/>
      <c r="E385" s="17"/>
    </row>
    <row r="386">
      <c r="A386" s="17"/>
      <c r="B386" s="17"/>
      <c r="C386" s="17"/>
      <c r="D386" s="17"/>
      <c r="E386" s="17"/>
    </row>
    <row r="387">
      <c r="A387" s="17"/>
      <c r="B387" s="17"/>
      <c r="C387" s="17"/>
      <c r="D387" s="17"/>
      <c r="E387" s="17"/>
    </row>
    <row r="388">
      <c r="A388" s="17"/>
      <c r="B388" s="17"/>
      <c r="C388" s="17"/>
      <c r="D388" s="17"/>
      <c r="E388" s="17"/>
    </row>
    <row r="389">
      <c r="A389" s="17"/>
      <c r="B389" s="17"/>
      <c r="C389" s="17"/>
      <c r="D389" s="17"/>
      <c r="E389" s="17"/>
    </row>
    <row r="390">
      <c r="A390" s="17"/>
      <c r="B390" s="17"/>
      <c r="C390" s="17"/>
      <c r="D390" s="17"/>
      <c r="E390" s="17"/>
    </row>
    <row r="391">
      <c r="A391" s="17"/>
      <c r="B391" s="17"/>
      <c r="C391" s="17"/>
      <c r="D391" s="17"/>
      <c r="E391" s="17"/>
    </row>
    <row r="392">
      <c r="A392" s="17"/>
      <c r="B392" s="17"/>
      <c r="C392" s="17"/>
      <c r="D392" s="17"/>
      <c r="E392" s="17"/>
    </row>
    <row r="393">
      <c r="A393" s="17"/>
      <c r="B393" s="17"/>
      <c r="C393" s="17"/>
      <c r="D393" s="17"/>
      <c r="E393" s="17"/>
    </row>
    <row r="394">
      <c r="A394" s="17"/>
      <c r="B394" s="17"/>
      <c r="C394" s="17"/>
      <c r="D394" s="17"/>
      <c r="E394" s="17"/>
    </row>
    <row r="395">
      <c r="A395" s="17"/>
      <c r="B395" s="17"/>
      <c r="C395" s="17"/>
      <c r="D395" s="17"/>
      <c r="E395" s="17"/>
    </row>
    <row r="396">
      <c r="A396" s="17"/>
      <c r="B396" s="17"/>
      <c r="C396" s="17"/>
      <c r="D396" s="17"/>
      <c r="E396" s="17"/>
    </row>
    <row r="397">
      <c r="A397" s="17"/>
      <c r="B397" s="17"/>
      <c r="C397" s="17"/>
      <c r="D397" s="17"/>
      <c r="E397" s="17"/>
    </row>
    <row r="398">
      <c r="A398" s="17"/>
      <c r="B398" s="17"/>
      <c r="C398" s="17"/>
      <c r="D398" s="17"/>
      <c r="E398" s="17"/>
    </row>
    <row r="399">
      <c r="A399" s="17"/>
      <c r="B399" s="17"/>
      <c r="C399" s="17"/>
      <c r="D399" s="17"/>
      <c r="E399" s="17"/>
    </row>
    <row r="400">
      <c r="A400" s="17"/>
      <c r="B400" s="17"/>
      <c r="C400" s="17"/>
      <c r="D400" s="17"/>
      <c r="E400" s="17"/>
    </row>
    <row r="401">
      <c r="A401" s="17"/>
      <c r="B401" s="17"/>
      <c r="C401" s="17"/>
      <c r="D401" s="17"/>
      <c r="E401" s="17"/>
    </row>
    <row r="402">
      <c r="A402" s="17"/>
      <c r="B402" s="17"/>
      <c r="C402" s="17"/>
      <c r="D402" s="17"/>
      <c r="E402" s="17"/>
    </row>
    <row r="403">
      <c r="A403" s="17"/>
      <c r="B403" s="17"/>
      <c r="C403" s="17"/>
      <c r="D403" s="17"/>
      <c r="E403" s="17"/>
    </row>
    <row r="404">
      <c r="A404" s="17"/>
      <c r="B404" s="17"/>
      <c r="C404" s="17"/>
      <c r="D404" s="17"/>
      <c r="E404" s="17"/>
    </row>
    <row r="405">
      <c r="A405" s="17"/>
      <c r="B405" s="17"/>
      <c r="C405" s="17"/>
      <c r="D405" s="17"/>
      <c r="E405" s="17"/>
    </row>
    <row r="406">
      <c r="A406" s="17"/>
      <c r="B406" s="17"/>
      <c r="C406" s="17"/>
      <c r="D406" s="17"/>
      <c r="E406" s="17"/>
    </row>
    <row r="407">
      <c r="A407" s="17"/>
      <c r="B407" s="17"/>
      <c r="C407" s="17"/>
      <c r="D407" s="17"/>
      <c r="E407" s="17"/>
    </row>
    <row r="408">
      <c r="A408" s="17"/>
      <c r="B408" s="17"/>
      <c r="C408" s="17"/>
      <c r="D408" s="17"/>
      <c r="E408" s="17"/>
    </row>
    <row r="409">
      <c r="A409" s="17"/>
      <c r="B409" s="17"/>
      <c r="C409" s="17"/>
      <c r="D409" s="17"/>
      <c r="E409" s="17"/>
    </row>
    <row r="410">
      <c r="A410" s="17"/>
      <c r="B410" s="17"/>
      <c r="C410" s="17"/>
      <c r="D410" s="17"/>
      <c r="E410" s="17"/>
    </row>
    <row r="411">
      <c r="A411" s="17"/>
      <c r="B411" s="17"/>
      <c r="C411" s="17"/>
      <c r="D411" s="17"/>
      <c r="E411" s="17"/>
    </row>
    <row r="412">
      <c r="A412" s="17"/>
      <c r="B412" s="17"/>
      <c r="C412" s="17"/>
      <c r="D412" s="17"/>
      <c r="E412" s="17"/>
    </row>
    <row r="413">
      <c r="A413" s="17"/>
      <c r="B413" s="17"/>
      <c r="C413" s="17"/>
      <c r="D413" s="17"/>
      <c r="E413" s="17"/>
    </row>
    <row r="414">
      <c r="A414" s="17"/>
      <c r="B414" s="17"/>
      <c r="C414" s="17"/>
      <c r="D414" s="17"/>
      <c r="E414" s="17"/>
    </row>
    <row r="415">
      <c r="A415" s="17"/>
      <c r="B415" s="17"/>
      <c r="C415" s="17"/>
      <c r="D415" s="17"/>
      <c r="E415" s="17"/>
    </row>
    <row r="416">
      <c r="A416" s="17"/>
      <c r="B416" s="17"/>
      <c r="C416" s="17"/>
      <c r="D416" s="17"/>
      <c r="E416" s="17"/>
    </row>
    <row r="417">
      <c r="A417" s="17"/>
      <c r="B417" s="17"/>
      <c r="C417" s="17"/>
      <c r="D417" s="17"/>
      <c r="E417" s="17"/>
    </row>
    <row r="418">
      <c r="A418" s="17"/>
      <c r="B418" s="17"/>
      <c r="C418" s="17"/>
      <c r="D418" s="17"/>
      <c r="E418" s="17"/>
    </row>
    <row r="419">
      <c r="A419" s="17"/>
      <c r="B419" s="17"/>
      <c r="C419" s="17"/>
      <c r="D419" s="17"/>
      <c r="E419" s="17"/>
    </row>
    <row r="420">
      <c r="A420" s="17"/>
      <c r="B420" s="17"/>
      <c r="C420" s="17"/>
      <c r="D420" s="17"/>
      <c r="E420" s="17"/>
    </row>
    <row r="421">
      <c r="A421" s="17"/>
      <c r="B421" s="17"/>
      <c r="C421" s="17"/>
      <c r="D421" s="17"/>
      <c r="E421" s="17"/>
    </row>
    <row r="422">
      <c r="A422" s="17"/>
      <c r="B422" s="17"/>
      <c r="C422" s="17"/>
      <c r="D422" s="17"/>
      <c r="E422" s="17"/>
    </row>
    <row r="423">
      <c r="A423" s="17"/>
      <c r="B423" s="17"/>
      <c r="C423" s="17"/>
      <c r="D423" s="17"/>
      <c r="E423" s="17"/>
    </row>
    <row r="424">
      <c r="A424" s="17"/>
      <c r="B424" s="17"/>
      <c r="C424" s="17"/>
      <c r="D424" s="17"/>
      <c r="E424" s="17"/>
    </row>
    <row r="425">
      <c r="A425" s="17"/>
      <c r="B425" s="17"/>
      <c r="C425" s="17"/>
      <c r="D425" s="17"/>
      <c r="E425" s="17"/>
    </row>
    <row r="426">
      <c r="A426" s="17"/>
      <c r="B426" s="17"/>
      <c r="C426" s="17"/>
      <c r="D426" s="17"/>
      <c r="E426" s="17"/>
    </row>
    <row r="427">
      <c r="A427" s="17"/>
      <c r="B427" s="17"/>
      <c r="C427" s="17"/>
      <c r="D427" s="17"/>
      <c r="E427" s="17"/>
    </row>
    <row r="428">
      <c r="A428" s="17"/>
      <c r="B428" s="17"/>
      <c r="C428" s="17"/>
      <c r="D428" s="17"/>
      <c r="E428" s="17"/>
    </row>
    <row r="429">
      <c r="A429" s="17"/>
      <c r="B429" s="17"/>
      <c r="C429" s="17"/>
      <c r="D429" s="17"/>
      <c r="E429" s="17"/>
    </row>
    <row r="430">
      <c r="A430" s="17"/>
      <c r="B430" s="17"/>
      <c r="C430" s="17"/>
      <c r="D430" s="17"/>
      <c r="E430" s="17"/>
    </row>
    <row r="431">
      <c r="A431" s="17"/>
      <c r="B431" s="17"/>
      <c r="C431" s="17"/>
      <c r="D431" s="17"/>
      <c r="E431" s="17"/>
    </row>
    <row r="432">
      <c r="A432" s="17"/>
      <c r="B432" s="17"/>
      <c r="C432" s="17"/>
      <c r="D432" s="17"/>
      <c r="E432" s="17"/>
    </row>
    <row r="433">
      <c r="A433" s="17"/>
      <c r="B433" s="17"/>
      <c r="C433" s="17"/>
      <c r="D433" s="17"/>
      <c r="E433" s="17"/>
    </row>
    <row r="434">
      <c r="A434" s="17"/>
      <c r="B434" s="17"/>
      <c r="C434" s="17"/>
      <c r="D434" s="17"/>
      <c r="E434" s="17"/>
    </row>
    <row r="435">
      <c r="A435" s="17"/>
      <c r="B435" s="17"/>
      <c r="C435" s="17"/>
      <c r="D435" s="17"/>
      <c r="E435" s="17"/>
    </row>
    <row r="436">
      <c r="A436" s="17"/>
      <c r="B436" s="17"/>
      <c r="C436" s="17"/>
      <c r="D436" s="17"/>
      <c r="E436" s="17"/>
    </row>
    <row r="437">
      <c r="A437" s="17"/>
      <c r="B437" s="17"/>
      <c r="C437" s="17"/>
      <c r="D437" s="17"/>
      <c r="E437" s="17"/>
    </row>
    <row r="438">
      <c r="A438" s="17"/>
      <c r="B438" s="17"/>
      <c r="C438" s="17"/>
      <c r="D438" s="17"/>
      <c r="E438" s="17"/>
    </row>
    <row r="439">
      <c r="A439" s="17"/>
      <c r="B439" s="17"/>
      <c r="C439" s="17"/>
      <c r="D439" s="17"/>
      <c r="E439" s="17"/>
    </row>
    <row r="440">
      <c r="A440" s="17"/>
      <c r="B440" s="17"/>
      <c r="C440" s="17"/>
      <c r="D440" s="17"/>
      <c r="E440" s="17"/>
    </row>
    <row r="441">
      <c r="A441" s="17"/>
      <c r="B441" s="17"/>
      <c r="C441" s="17"/>
      <c r="D441" s="17"/>
      <c r="E441" s="17"/>
    </row>
    <row r="442">
      <c r="A442" s="17"/>
      <c r="B442" s="17"/>
      <c r="C442" s="17"/>
      <c r="D442" s="17"/>
      <c r="E442" s="17"/>
    </row>
    <row r="443">
      <c r="A443" s="17"/>
      <c r="B443" s="17"/>
      <c r="C443" s="17"/>
      <c r="D443" s="17"/>
      <c r="E443" s="17"/>
    </row>
    <row r="444">
      <c r="A444" s="17"/>
      <c r="B444" s="17"/>
      <c r="C444" s="17"/>
      <c r="D444" s="17"/>
      <c r="E444" s="17"/>
    </row>
    <row r="445">
      <c r="A445" s="17"/>
      <c r="B445" s="17"/>
      <c r="C445" s="17"/>
      <c r="D445" s="17"/>
      <c r="E445" s="17"/>
    </row>
    <row r="446">
      <c r="A446" s="17"/>
      <c r="B446" s="17"/>
      <c r="C446" s="17"/>
      <c r="D446" s="17"/>
      <c r="E446" s="17"/>
    </row>
    <row r="447">
      <c r="A447" s="17"/>
      <c r="B447" s="17"/>
      <c r="C447" s="17"/>
      <c r="D447" s="17"/>
      <c r="E447" s="17"/>
    </row>
    <row r="448">
      <c r="A448" s="17"/>
      <c r="B448" s="17"/>
      <c r="C448" s="17"/>
      <c r="D448" s="17"/>
      <c r="E448" s="17"/>
    </row>
    <row r="449">
      <c r="A449" s="17"/>
      <c r="B449" s="17"/>
      <c r="C449" s="17"/>
      <c r="D449" s="17"/>
      <c r="E449" s="17"/>
    </row>
    <row r="450">
      <c r="A450" s="17"/>
      <c r="B450" s="17"/>
      <c r="C450" s="17"/>
      <c r="D450" s="17"/>
      <c r="E450" s="17"/>
    </row>
    <row r="451">
      <c r="A451" s="17"/>
      <c r="B451" s="17"/>
      <c r="C451" s="17"/>
      <c r="D451" s="17"/>
      <c r="E451" s="17"/>
    </row>
    <row r="452">
      <c r="A452" s="17"/>
      <c r="B452" s="17"/>
      <c r="C452" s="17"/>
      <c r="D452" s="17"/>
      <c r="E452" s="17"/>
    </row>
    <row r="453">
      <c r="A453" s="17"/>
      <c r="B453" s="17"/>
      <c r="C453" s="17"/>
      <c r="D453" s="17"/>
      <c r="E453" s="17"/>
    </row>
    <row r="454">
      <c r="A454" s="17"/>
      <c r="B454" s="17"/>
      <c r="C454" s="17"/>
      <c r="D454" s="17"/>
      <c r="E454" s="17"/>
    </row>
    <row r="455">
      <c r="A455" s="17"/>
      <c r="B455" s="17"/>
      <c r="C455" s="17"/>
      <c r="D455" s="17"/>
      <c r="E455" s="17"/>
    </row>
    <row r="456">
      <c r="A456" s="17"/>
      <c r="B456" s="17"/>
      <c r="C456" s="17"/>
      <c r="D456" s="17"/>
      <c r="E456" s="17"/>
    </row>
    <row r="457">
      <c r="A457" s="17"/>
      <c r="B457" s="17"/>
      <c r="C457" s="17"/>
      <c r="D457" s="17"/>
      <c r="E457" s="17"/>
    </row>
    <row r="458">
      <c r="A458" s="17"/>
      <c r="B458" s="17"/>
      <c r="C458" s="17"/>
      <c r="D458" s="17"/>
      <c r="E458" s="17"/>
    </row>
    <row r="459">
      <c r="A459" s="17"/>
      <c r="B459" s="17"/>
      <c r="C459" s="17"/>
      <c r="D459" s="17"/>
      <c r="E459" s="17"/>
    </row>
    <row r="460">
      <c r="A460" s="17"/>
      <c r="B460" s="17"/>
      <c r="C460" s="17"/>
      <c r="D460" s="17"/>
      <c r="E460" s="17"/>
    </row>
    <row r="461">
      <c r="A461" s="17"/>
      <c r="B461" s="17"/>
      <c r="C461" s="17"/>
      <c r="D461" s="17"/>
      <c r="E461" s="17"/>
    </row>
    <row r="462">
      <c r="A462" s="17"/>
      <c r="B462" s="17"/>
      <c r="C462" s="17"/>
      <c r="D462" s="17"/>
      <c r="E462" s="17"/>
    </row>
    <row r="463">
      <c r="A463" s="17"/>
      <c r="B463" s="17"/>
      <c r="C463" s="17"/>
      <c r="D463" s="17"/>
      <c r="E463" s="17"/>
    </row>
    <row r="464">
      <c r="A464" s="17"/>
      <c r="B464" s="17"/>
      <c r="C464" s="17"/>
      <c r="D464" s="17"/>
      <c r="E464" s="17"/>
    </row>
    <row r="465">
      <c r="A465" s="17"/>
      <c r="B465" s="17"/>
      <c r="C465" s="17"/>
      <c r="D465" s="17"/>
      <c r="E465" s="17"/>
    </row>
    <row r="466">
      <c r="A466" s="17"/>
      <c r="B466" s="17"/>
      <c r="C466" s="17"/>
      <c r="D466" s="17"/>
      <c r="E466" s="17"/>
    </row>
    <row r="467">
      <c r="A467" s="17"/>
      <c r="B467" s="17"/>
      <c r="C467" s="17"/>
      <c r="D467" s="17"/>
      <c r="E467" s="17"/>
    </row>
    <row r="468">
      <c r="A468" s="17"/>
      <c r="B468" s="17"/>
      <c r="C468" s="17"/>
      <c r="D468" s="17"/>
      <c r="E468" s="17"/>
    </row>
    <row r="469">
      <c r="A469" s="17"/>
      <c r="B469" s="17"/>
      <c r="C469" s="17"/>
      <c r="D469" s="17"/>
      <c r="E469" s="17"/>
    </row>
    <row r="470">
      <c r="A470" s="17"/>
      <c r="B470" s="17"/>
      <c r="C470" s="17"/>
      <c r="D470" s="17"/>
      <c r="E470" s="17"/>
    </row>
    <row r="471">
      <c r="A471" s="17"/>
      <c r="B471" s="17"/>
      <c r="C471" s="17"/>
      <c r="D471" s="17"/>
      <c r="E471" s="17"/>
    </row>
    <row r="472">
      <c r="A472" s="17"/>
      <c r="B472" s="17"/>
      <c r="C472" s="17"/>
      <c r="D472" s="17"/>
      <c r="E472" s="17"/>
    </row>
    <row r="473">
      <c r="A473" s="17"/>
      <c r="B473" s="17"/>
      <c r="C473" s="17"/>
      <c r="D473" s="17"/>
      <c r="E473" s="17"/>
    </row>
    <row r="474">
      <c r="A474" s="17"/>
      <c r="B474" s="17"/>
      <c r="C474" s="17"/>
      <c r="D474" s="17"/>
      <c r="E474" s="17"/>
    </row>
    <row r="475">
      <c r="A475" s="17"/>
      <c r="B475" s="17"/>
      <c r="C475" s="17"/>
      <c r="D475" s="17"/>
      <c r="E475" s="17"/>
    </row>
    <row r="476">
      <c r="A476" s="17"/>
      <c r="B476" s="17"/>
      <c r="C476" s="17"/>
      <c r="D476" s="17"/>
      <c r="E476" s="17"/>
    </row>
    <row r="477">
      <c r="A477" s="17"/>
      <c r="B477" s="17"/>
      <c r="C477" s="17"/>
      <c r="D477" s="17"/>
      <c r="E477" s="17"/>
    </row>
    <row r="478">
      <c r="A478" s="17"/>
      <c r="B478" s="17"/>
      <c r="C478" s="17"/>
      <c r="D478" s="17"/>
      <c r="E478" s="17"/>
    </row>
    <row r="479">
      <c r="A479" s="17"/>
      <c r="B479" s="17"/>
      <c r="C479" s="17"/>
      <c r="D479" s="17"/>
      <c r="E479" s="17"/>
    </row>
    <row r="480">
      <c r="A480" s="17"/>
      <c r="B480" s="17"/>
      <c r="C480" s="17"/>
      <c r="D480" s="17"/>
      <c r="E480" s="17"/>
    </row>
    <row r="481">
      <c r="A481" s="17"/>
      <c r="B481" s="17"/>
      <c r="C481" s="17"/>
      <c r="D481" s="17"/>
      <c r="E481" s="17"/>
    </row>
    <row r="482">
      <c r="A482" s="17"/>
      <c r="B482" s="17"/>
      <c r="C482" s="17"/>
      <c r="D482" s="17"/>
      <c r="E482" s="17"/>
    </row>
    <row r="483">
      <c r="A483" s="17"/>
      <c r="B483" s="17"/>
      <c r="C483" s="17"/>
      <c r="D483" s="17"/>
      <c r="E483" s="17"/>
    </row>
    <row r="484">
      <c r="A484" s="17"/>
      <c r="B484" s="17"/>
      <c r="C484" s="17"/>
      <c r="D484" s="17"/>
      <c r="E484" s="17"/>
    </row>
    <row r="485">
      <c r="A485" s="17"/>
      <c r="B485" s="17"/>
      <c r="C485" s="17"/>
      <c r="D485" s="17"/>
      <c r="E485" s="17"/>
    </row>
    <row r="486">
      <c r="A486" s="17"/>
      <c r="B486" s="17"/>
      <c r="C486" s="17"/>
      <c r="D486" s="17"/>
      <c r="E486" s="17"/>
    </row>
    <row r="487">
      <c r="A487" s="17"/>
      <c r="B487" s="17"/>
      <c r="C487" s="17"/>
      <c r="D487" s="17"/>
      <c r="E487" s="17"/>
    </row>
    <row r="488">
      <c r="A488" s="17"/>
      <c r="B488" s="17"/>
      <c r="C488" s="17"/>
      <c r="D488" s="17"/>
      <c r="E488" s="17"/>
    </row>
    <row r="489">
      <c r="A489" s="17"/>
      <c r="B489" s="17"/>
      <c r="C489" s="17"/>
      <c r="D489" s="17"/>
      <c r="E489" s="17"/>
    </row>
    <row r="490">
      <c r="A490" s="17"/>
      <c r="B490" s="17"/>
      <c r="C490" s="17"/>
      <c r="D490" s="17"/>
      <c r="E490" s="17"/>
    </row>
    <row r="491">
      <c r="A491" s="17"/>
      <c r="B491" s="17"/>
      <c r="C491" s="17"/>
      <c r="D491" s="17"/>
      <c r="E491" s="17"/>
    </row>
    <row r="492">
      <c r="A492" s="17"/>
      <c r="B492" s="17"/>
      <c r="C492" s="17"/>
      <c r="D492" s="17"/>
      <c r="E492" s="17"/>
    </row>
    <row r="493">
      <c r="A493" s="17"/>
      <c r="B493" s="17"/>
      <c r="C493" s="17"/>
      <c r="D493" s="17"/>
      <c r="E493" s="17"/>
    </row>
    <row r="494">
      <c r="A494" s="17"/>
      <c r="B494" s="17"/>
      <c r="C494" s="17"/>
      <c r="D494" s="17"/>
      <c r="E494" s="17"/>
    </row>
    <row r="495">
      <c r="A495" s="17"/>
      <c r="B495" s="17"/>
      <c r="C495" s="17"/>
      <c r="D495" s="17"/>
      <c r="E495" s="17"/>
    </row>
    <row r="496">
      <c r="A496" s="17"/>
      <c r="B496" s="17"/>
      <c r="C496" s="17"/>
      <c r="D496" s="17"/>
      <c r="E496" s="17"/>
    </row>
    <row r="497">
      <c r="A497" s="17"/>
      <c r="B497" s="17"/>
      <c r="C497" s="17"/>
      <c r="D497" s="17"/>
      <c r="E497" s="17"/>
    </row>
    <row r="498">
      <c r="A498" s="17"/>
      <c r="B498" s="17"/>
      <c r="C498" s="17"/>
      <c r="D498" s="17"/>
      <c r="E498" s="17"/>
    </row>
    <row r="499">
      <c r="A499" s="17"/>
      <c r="B499" s="17"/>
      <c r="C499" s="17"/>
      <c r="D499" s="17"/>
      <c r="E499" s="17"/>
    </row>
    <row r="500">
      <c r="A500" s="17"/>
      <c r="B500" s="17"/>
      <c r="C500" s="17"/>
      <c r="D500" s="17"/>
      <c r="E500" s="17"/>
    </row>
    <row r="501">
      <c r="A501" s="17"/>
      <c r="B501" s="17"/>
      <c r="C501" s="17"/>
      <c r="D501" s="17"/>
      <c r="E501" s="17"/>
    </row>
    <row r="502">
      <c r="A502" s="17"/>
      <c r="B502" s="17"/>
      <c r="C502" s="17"/>
      <c r="D502" s="17"/>
      <c r="E502" s="17"/>
    </row>
    <row r="503">
      <c r="A503" s="17"/>
      <c r="B503" s="17"/>
      <c r="C503" s="17"/>
      <c r="D503" s="17"/>
      <c r="E503" s="17"/>
    </row>
    <row r="504">
      <c r="A504" s="17"/>
      <c r="B504" s="17"/>
      <c r="C504" s="17"/>
      <c r="D504" s="17"/>
      <c r="E504" s="17"/>
    </row>
    <row r="505">
      <c r="A505" s="17"/>
      <c r="B505" s="17"/>
      <c r="C505" s="17"/>
      <c r="D505" s="17"/>
      <c r="E505" s="17"/>
    </row>
    <row r="506">
      <c r="A506" s="17"/>
      <c r="B506" s="17"/>
      <c r="C506" s="17"/>
      <c r="D506" s="17"/>
      <c r="E506" s="17"/>
    </row>
    <row r="507">
      <c r="A507" s="17"/>
      <c r="B507" s="17"/>
      <c r="C507" s="17"/>
      <c r="D507" s="17"/>
      <c r="E507" s="17"/>
    </row>
    <row r="508">
      <c r="A508" s="17"/>
      <c r="B508" s="17"/>
      <c r="C508" s="17"/>
      <c r="D508" s="17"/>
      <c r="E508" s="17"/>
    </row>
    <row r="509">
      <c r="A509" s="17"/>
      <c r="B509" s="17"/>
      <c r="C509" s="17"/>
      <c r="D509" s="17"/>
      <c r="E509" s="17"/>
    </row>
    <row r="510">
      <c r="A510" s="17"/>
      <c r="B510" s="17"/>
      <c r="C510" s="17"/>
      <c r="D510" s="17"/>
      <c r="E510" s="17"/>
    </row>
    <row r="511">
      <c r="A511" s="17"/>
      <c r="B511" s="17"/>
      <c r="C511" s="17"/>
      <c r="D511" s="17"/>
      <c r="E511" s="17"/>
    </row>
    <row r="512">
      <c r="A512" s="17"/>
      <c r="B512" s="17"/>
      <c r="C512" s="17"/>
      <c r="D512" s="17"/>
      <c r="E512" s="17"/>
    </row>
    <row r="513">
      <c r="A513" s="17"/>
      <c r="B513" s="17"/>
      <c r="C513" s="17"/>
      <c r="D513" s="17"/>
      <c r="E513" s="17"/>
    </row>
    <row r="514">
      <c r="A514" s="17"/>
      <c r="B514" s="17"/>
      <c r="C514" s="17"/>
      <c r="D514" s="17"/>
      <c r="E514" s="17"/>
    </row>
    <row r="515">
      <c r="A515" s="17"/>
      <c r="B515" s="17"/>
      <c r="C515" s="17"/>
      <c r="D515" s="17"/>
      <c r="E515" s="17"/>
    </row>
    <row r="516">
      <c r="A516" s="17"/>
      <c r="B516" s="17"/>
      <c r="C516" s="17"/>
      <c r="D516" s="17"/>
      <c r="E516" s="17"/>
    </row>
    <row r="517">
      <c r="A517" s="17"/>
      <c r="B517" s="17"/>
      <c r="C517" s="17"/>
      <c r="D517" s="17"/>
      <c r="E517" s="17"/>
    </row>
    <row r="518">
      <c r="A518" s="17"/>
      <c r="B518" s="17"/>
      <c r="C518" s="17"/>
      <c r="D518" s="17"/>
      <c r="E518" s="17"/>
    </row>
    <row r="519">
      <c r="A519" s="17"/>
      <c r="B519" s="17"/>
      <c r="C519" s="17"/>
      <c r="D519" s="17"/>
      <c r="E519" s="17"/>
    </row>
    <row r="520">
      <c r="A520" s="17"/>
      <c r="B520" s="17"/>
      <c r="C520" s="17"/>
      <c r="D520" s="17"/>
      <c r="E520" s="17"/>
    </row>
    <row r="521">
      <c r="A521" s="17"/>
      <c r="B521" s="17"/>
      <c r="C521" s="17"/>
      <c r="D521" s="17"/>
      <c r="E521" s="17"/>
    </row>
    <row r="522">
      <c r="A522" s="17"/>
      <c r="B522" s="17"/>
      <c r="C522" s="17"/>
      <c r="D522" s="17"/>
      <c r="E522" s="17"/>
    </row>
    <row r="523">
      <c r="A523" s="17"/>
      <c r="B523" s="17"/>
      <c r="C523" s="17"/>
      <c r="D523" s="17"/>
      <c r="E523" s="17"/>
    </row>
    <row r="524">
      <c r="A524" s="17"/>
      <c r="B524" s="17"/>
      <c r="C524" s="17"/>
      <c r="D524" s="17"/>
      <c r="E524" s="17"/>
    </row>
    <row r="525">
      <c r="A525" s="17"/>
      <c r="B525" s="17"/>
      <c r="C525" s="17"/>
      <c r="D525" s="17"/>
      <c r="E525" s="17"/>
    </row>
    <row r="526">
      <c r="A526" s="17"/>
      <c r="B526" s="17"/>
      <c r="C526" s="17"/>
      <c r="D526" s="17"/>
      <c r="E526" s="17"/>
    </row>
    <row r="527">
      <c r="A527" s="17"/>
      <c r="B527" s="17"/>
      <c r="C527" s="17"/>
      <c r="D527" s="17"/>
      <c r="E527" s="17"/>
    </row>
    <row r="528">
      <c r="A528" s="17"/>
      <c r="B528" s="17"/>
      <c r="C528" s="17"/>
      <c r="D528" s="17"/>
      <c r="E528" s="17"/>
    </row>
    <row r="529">
      <c r="A529" s="17"/>
      <c r="B529" s="17"/>
      <c r="C529" s="17"/>
      <c r="D529" s="17"/>
      <c r="E529" s="17"/>
    </row>
    <row r="530">
      <c r="A530" s="17"/>
      <c r="B530" s="17"/>
      <c r="C530" s="17"/>
      <c r="D530" s="17"/>
      <c r="E530" s="17"/>
    </row>
    <row r="531">
      <c r="A531" s="17"/>
      <c r="B531" s="17"/>
      <c r="C531" s="17"/>
      <c r="D531" s="17"/>
      <c r="E531" s="17"/>
    </row>
    <row r="532">
      <c r="A532" s="17"/>
      <c r="B532" s="17"/>
      <c r="C532" s="17"/>
      <c r="D532" s="17"/>
      <c r="E532" s="17"/>
    </row>
    <row r="533">
      <c r="A533" s="17"/>
      <c r="B533" s="17"/>
      <c r="C533" s="17"/>
      <c r="D533" s="17"/>
      <c r="E533" s="17"/>
    </row>
    <row r="534">
      <c r="A534" s="17"/>
      <c r="B534" s="17"/>
      <c r="C534" s="17"/>
      <c r="D534" s="17"/>
      <c r="E534" s="17"/>
    </row>
    <row r="535">
      <c r="A535" s="17"/>
      <c r="B535" s="17"/>
      <c r="C535" s="17"/>
      <c r="D535" s="17"/>
      <c r="E535" s="17"/>
    </row>
    <row r="536">
      <c r="A536" s="17"/>
      <c r="B536" s="17"/>
      <c r="C536" s="17"/>
      <c r="D536" s="17"/>
      <c r="E536" s="17"/>
    </row>
    <row r="537">
      <c r="A537" s="17"/>
      <c r="B537" s="17"/>
      <c r="C537" s="17"/>
      <c r="D537" s="17"/>
      <c r="E537" s="17"/>
    </row>
    <row r="538">
      <c r="A538" s="17"/>
      <c r="B538" s="17"/>
      <c r="C538" s="17"/>
      <c r="D538" s="17"/>
      <c r="E538" s="17"/>
    </row>
    <row r="539">
      <c r="A539" s="17"/>
      <c r="B539" s="17"/>
      <c r="C539" s="17"/>
      <c r="D539" s="17"/>
      <c r="E539" s="17"/>
    </row>
    <row r="540">
      <c r="A540" s="17"/>
      <c r="B540" s="17"/>
      <c r="C540" s="17"/>
      <c r="D540" s="17"/>
      <c r="E540" s="17"/>
    </row>
    <row r="541">
      <c r="A541" s="17"/>
      <c r="B541" s="17"/>
      <c r="C541" s="17"/>
      <c r="D541" s="17"/>
      <c r="E541" s="17"/>
    </row>
    <row r="542">
      <c r="A542" s="17"/>
      <c r="B542" s="17"/>
      <c r="C542" s="17"/>
      <c r="D542" s="17"/>
      <c r="E542" s="17"/>
    </row>
    <row r="543">
      <c r="A543" s="17"/>
      <c r="B543" s="17"/>
      <c r="C543" s="17"/>
      <c r="D543" s="17"/>
      <c r="E543" s="17"/>
    </row>
    <row r="544">
      <c r="A544" s="17"/>
      <c r="B544" s="17"/>
      <c r="C544" s="17"/>
      <c r="D544" s="17"/>
      <c r="E544" s="17"/>
    </row>
    <row r="545">
      <c r="A545" s="17"/>
      <c r="B545" s="17"/>
      <c r="C545" s="17"/>
      <c r="D545" s="17"/>
      <c r="E545" s="17"/>
    </row>
    <row r="546">
      <c r="A546" s="17"/>
      <c r="B546" s="17"/>
      <c r="C546" s="17"/>
      <c r="D546" s="17"/>
      <c r="E546" s="17"/>
    </row>
    <row r="547">
      <c r="A547" s="17"/>
      <c r="B547" s="17"/>
      <c r="C547" s="17"/>
      <c r="D547" s="17"/>
      <c r="E547" s="17"/>
    </row>
    <row r="548">
      <c r="A548" s="17"/>
      <c r="B548" s="17"/>
      <c r="C548" s="17"/>
      <c r="D548" s="17"/>
      <c r="E548" s="17"/>
    </row>
    <row r="549">
      <c r="A549" s="17"/>
      <c r="B549" s="17"/>
      <c r="C549" s="17"/>
      <c r="D549" s="17"/>
      <c r="E549" s="17"/>
    </row>
    <row r="550">
      <c r="A550" s="17"/>
      <c r="B550" s="17"/>
      <c r="C550" s="17"/>
      <c r="D550" s="17"/>
      <c r="E550" s="17"/>
    </row>
    <row r="551">
      <c r="A551" s="17"/>
      <c r="B551" s="17"/>
      <c r="C551" s="17"/>
      <c r="D551" s="17"/>
      <c r="E551" s="17"/>
    </row>
    <row r="552">
      <c r="A552" s="17"/>
      <c r="B552" s="17"/>
      <c r="C552" s="17"/>
      <c r="D552" s="17"/>
      <c r="E552" s="17"/>
    </row>
    <row r="553">
      <c r="A553" s="17"/>
      <c r="B553" s="17"/>
      <c r="C553" s="17"/>
      <c r="D553" s="17"/>
      <c r="E553" s="17"/>
    </row>
    <row r="554">
      <c r="A554" s="17"/>
      <c r="B554" s="17"/>
      <c r="C554" s="17"/>
      <c r="D554" s="17"/>
      <c r="E554" s="17"/>
    </row>
    <row r="555">
      <c r="A555" s="17"/>
      <c r="B555" s="17"/>
      <c r="C555" s="17"/>
      <c r="D555" s="17"/>
      <c r="E555" s="17"/>
    </row>
    <row r="556">
      <c r="A556" s="17"/>
      <c r="B556" s="17"/>
      <c r="C556" s="17"/>
      <c r="D556" s="17"/>
      <c r="E556" s="17"/>
    </row>
    <row r="557">
      <c r="A557" s="17"/>
      <c r="B557" s="17"/>
      <c r="C557" s="17"/>
      <c r="D557" s="17"/>
      <c r="E557" s="17"/>
    </row>
    <row r="558">
      <c r="A558" s="17"/>
      <c r="B558" s="17"/>
      <c r="C558" s="17"/>
      <c r="D558" s="17"/>
      <c r="E558" s="17"/>
    </row>
    <row r="559">
      <c r="A559" s="17"/>
      <c r="B559" s="17"/>
      <c r="C559" s="17"/>
      <c r="D559" s="17"/>
      <c r="E559" s="17"/>
    </row>
    <row r="560">
      <c r="A560" s="17"/>
      <c r="B560" s="17"/>
      <c r="C560" s="17"/>
      <c r="D560" s="17"/>
      <c r="E560" s="17"/>
    </row>
    <row r="561">
      <c r="A561" s="17"/>
      <c r="B561" s="17"/>
      <c r="C561" s="17"/>
      <c r="D561" s="17"/>
      <c r="E561" s="17"/>
    </row>
    <row r="562">
      <c r="A562" s="17"/>
      <c r="B562" s="17"/>
      <c r="C562" s="17"/>
      <c r="D562" s="17"/>
      <c r="E562" s="17"/>
    </row>
    <row r="563">
      <c r="A563" s="17"/>
      <c r="B563" s="17"/>
      <c r="C563" s="17"/>
      <c r="D563" s="17"/>
      <c r="E563" s="17"/>
    </row>
    <row r="564">
      <c r="A564" s="17"/>
      <c r="B564" s="17"/>
      <c r="C564" s="17"/>
      <c r="D564" s="17"/>
      <c r="E564" s="17"/>
    </row>
    <row r="565">
      <c r="A565" s="17"/>
      <c r="B565" s="17"/>
      <c r="C565" s="17"/>
      <c r="D565" s="17"/>
      <c r="E565" s="17"/>
    </row>
    <row r="566">
      <c r="A566" s="17"/>
      <c r="B566" s="17"/>
      <c r="C566" s="17"/>
      <c r="D566" s="17"/>
      <c r="E566" s="17"/>
    </row>
    <row r="567">
      <c r="A567" s="17"/>
      <c r="B567" s="17"/>
      <c r="C567" s="17"/>
      <c r="D567" s="17"/>
      <c r="E567" s="17"/>
    </row>
    <row r="568">
      <c r="A568" s="17"/>
      <c r="B568" s="17"/>
      <c r="C568" s="17"/>
      <c r="D568" s="17"/>
      <c r="E568" s="17"/>
    </row>
    <row r="569">
      <c r="A569" s="17"/>
      <c r="B569" s="17"/>
      <c r="C569" s="17"/>
      <c r="D569" s="17"/>
      <c r="E569" s="17"/>
    </row>
    <row r="570">
      <c r="A570" s="17"/>
      <c r="B570" s="17"/>
      <c r="C570" s="17"/>
      <c r="D570" s="17"/>
      <c r="E570" s="17"/>
    </row>
    <row r="571">
      <c r="A571" s="17"/>
      <c r="B571" s="17"/>
      <c r="C571" s="17"/>
      <c r="D571" s="17"/>
      <c r="E571" s="17"/>
    </row>
    <row r="572">
      <c r="A572" s="17"/>
      <c r="B572" s="17"/>
      <c r="C572" s="17"/>
      <c r="D572" s="17"/>
      <c r="E572" s="17"/>
    </row>
    <row r="573">
      <c r="A573" s="17"/>
      <c r="B573" s="17"/>
      <c r="C573" s="17"/>
      <c r="D573" s="17"/>
      <c r="E573" s="17"/>
    </row>
    <row r="574">
      <c r="A574" s="17"/>
      <c r="B574" s="17"/>
      <c r="C574" s="17"/>
      <c r="D574" s="17"/>
      <c r="E574" s="17"/>
    </row>
    <row r="575">
      <c r="A575" s="17"/>
      <c r="B575" s="17"/>
      <c r="C575" s="17"/>
      <c r="D575" s="17"/>
      <c r="E575" s="17"/>
    </row>
    <row r="576">
      <c r="A576" s="17"/>
      <c r="B576" s="17"/>
      <c r="C576" s="17"/>
      <c r="D576" s="17"/>
      <c r="E576" s="17"/>
    </row>
    <row r="577">
      <c r="A577" s="17"/>
      <c r="B577" s="17"/>
      <c r="C577" s="17"/>
      <c r="D577" s="17"/>
      <c r="E577" s="17"/>
    </row>
    <row r="578">
      <c r="A578" s="17"/>
      <c r="B578" s="17"/>
      <c r="C578" s="17"/>
      <c r="D578" s="17"/>
      <c r="E578" s="17"/>
    </row>
    <row r="579">
      <c r="A579" s="17"/>
      <c r="B579" s="17"/>
      <c r="C579" s="17"/>
      <c r="D579" s="17"/>
      <c r="E579" s="17"/>
    </row>
    <row r="580">
      <c r="A580" s="17"/>
      <c r="B580" s="17"/>
      <c r="C580" s="17"/>
      <c r="D580" s="17"/>
      <c r="E580" s="17"/>
    </row>
    <row r="581">
      <c r="A581" s="17"/>
      <c r="B581" s="17"/>
      <c r="C581" s="17"/>
      <c r="D581" s="17"/>
      <c r="E581" s="17"/>
    </row>
    <row r="582">
      <c r="A582" s="17"/>
      <c r="B582" s="17"/>
      <c r="C582" s="17"/>
      <c r="D582" s="17"/>
      <c r="E582" s="17"/>
    </row>
    <row r="583">
      <c r="A583" s="17"/>
      <c r="B583" s="17"/>
      <c r="C583" s="17"/>
      <c r="D583" s="17"/>
      <c r="E583" s="17"/>
    </row>
    <row r="584">
      <c r="A584" s="17"/>
      <c r="B584" s="17"/>
      <c r="C584" s="17"/>
      <c r="D584" s="17"/>
      <c r="E584" s="17"/>
    </row>
    <row r="585">
      <c r="A585" s="17"/>
      <c r="B585" s="17"/>
      <c r="C585" s="17"/>
      <c r="D585" s="17"/>
      <c r="E585" s="17"/>
    </row>
    <row r="586">
      <c r="A586" s="17"/>
      <c r="B586" s="17"/>
      <c r="C586" s="17"/>
      <c r="D586" s="17"/>
      <c r="E586" s="17"/>
    </row>
    <row r="587">
      <c r="A587" s="17"/>
      <c r="B587" s="17"/>
      <c r="C587" s="17"/>
      <c r="D587" s="17"/>
      <c r="E587" s="17"/>
    </row>
    <row r="588">
      <c r="A588" s="17"/>
      <c r="B588" s="17"/>
      <c r="C588" s="17"/>
      <c r="D588" s="17"/>
      <c r="E588" s="17"/>
    </row>
    <row r="589">
      <c r="A589" s="17"/>
      <c r="B589" s="17"/>
      <c r="C589" s="17"/>
      <c r="D589" s="17"/>
      <c r="E589" s="17"/>
    </row>
    <row r="590">
      <c r="A590" s="17"/>
      <c r="B590" s="17"/>
      <c r="C590" s="17"/>
      <c r="D590" s="17"/>
      <c r="E590" s="17"/>
    </row>
    <row r="591">
      <c r="A591" s="17"/>
      <c r="B591" s="17"/>
      <c r="C591" s="17"/>
      <c r="D591" s="17"/>
      <c r="E591" s="17"/>
    </row>
    <row r="592">
      <c r="A592" s="17"/>
      <c r="B592" s="17"/>
      <c r="C592" s="17"/>
      <c r="D592" s="17"/>
      <c r="E592" s="17"/>
    </row>
    <row r="593">
      <c r="A593" s="17"/>
      <c r="B593" s="17"/>
      <c r="C593" s="17"/>
      <c r="D593" s="17"/>
      <c r="E593" s="17"/>
    </row>
    <row r="594">
      <c r="A594" s="17"/>
      <c r="B594" s="17"/>
      <c r="C594" s="17"/>
      <c r="D594" s="17"/>
      <c r="E594" s="17"/>
    </row>
    <row r="595">
      <c r="A595" s="17"/>
      <c r="B595" s="17"/>
      <c r="C595" s="17"/>
      <c r="D595" s="17"/>
      <c r="E595" s="17"/>
    </row>
    <row r="596">
      <c r="A596" s="17"/>
      <c r="B596" s="17"/>
      <c r="C596" s="17"/>
      <c r="D596" s="17"/>
      <c r="E596" s="17"/>
    </row>
    <row r="597">
      <c r="A597" s="17"/>
      <c r="B597" s="17"/>
      <c r="C597" s="17"/>
      <c r="D597" s="17"/>
      <c r="E597" s="17"/>
    </row>
    <row r="598">
      <c r="A598" s="17"/>
      <c r="B598" s="17"/>
      <c r="C598" s="17"/>
      <c r="D598" s="17"/>
      <c r="E598" s="17"/>
    </row>
    <row r="599">
      <c r="A599" s="17"/>
      <c r="B599" s="17"/>
      <c r="C599" s="17"/>
      <c r="D599" s="17"/>
      <c r="E599" s="17"/>
    </row>
    <row r="600">
      <c r="A600" s="17"/>
      <c r="B600" s="17"/>
      <c r="C600" s="17"/>
      <c r="D600" s="17"/>
      <c r="E600" s="17"/>
    </row>
    <row r="601">
      <c r="A601" s="17"/>
      <c r="B601" s="17"/>
      <c r="C601" s="17"/>
      <c r="D601" s="17"/>
      <c r="E601" s="17"/>
    </row>
    <row r="602">
      <c r="A602" s="17"/>
      <c r="B602" s="17"/>
      <c r="C602" s="17"/>
      <c r="D602" s="17"/>
      <c r="E602" s="17"/>
    </row>
    <row r="603">
      <c r="A603" s="17"/>
      <c r="B603" s="17"/>
      <c r="C603" s="17"/>
      <c r="D603" s="17"/>
      <c r="E603" s="17"/>
    </row>
    <row r="604">
      <c r="A604" s="17"/>
      <c r="B604" s="17"/>
      <c r="C604" s="17"/>
      <c r="D604" s="17"/>
      <c r="E604" s="17"/>
    </row>
    <row r="605">
      <c r="A605" s="17"/>
      <c r="B605" s="17"/>
      <c r="C605" s="17"/>
      <c r="D605" s="17"/>
      <c r="E605" s="17"/>
    </row>
    <row r="606">
      <c r="A606" s="17"/>
      <c r="B606" s="17"/>
      <c r="C606" s="17"/>
      <c r="D606" s="17"/>
      <c r="E606" s="17"/>
    </row>
    <row r="607">
      <c r="A607" s="17"/>
      <c r="B607" s="17"/>
      <c r="C607" s="17"/>
      <c r="D607" s="17"/>
      <c r="E607" s="17"/>
    </row>
    <row r="608">
      <c r="A608" s="17"/>
      <c r="B608" s="17"/>
      <c r="C608" s="17"/>
      <c r="D608" s="17"/>
      <c r="E608" s="17"/>
    </row>
    <row r="609">
      <c r="A609" s="17"/>
      <c r="B609" s="17"/>
      <c r="C609" s="17"/>
      <c r="D609" s="17"/>
      <c r="E609" s="17"/>
    </row>
    <row r="610">
      <c r="A610" s="17"/>
      <c r="B610" s="17"/>
      <c r="C610" s="17"/>
      <c r="D610" s="17"/>
      <c r="E610" s="17"/>
    </row>
    <row r="611">
      <c r="A611" s="17"/>
      <c r="B611" s="17"/>
      <c r="C611" s="17"/>
      <c r="D611" s="17"/>
      <c r="E611" s="17"/>
    </row>
    <row r="612">
      <c r="A612" s="17"/>
      <c r="B612" s="17"/>
      <c r="C612" s="17"/>
      <c r="D612" s="17"/>
      <c r="E612" s="17"/>
    </row>
    <row r="613">
      <c r="A613" s="17"/>
      <c r="B613" s="17"/>
      <c r="C613" s="17"/>
      <c r="D613" s="17"/>
      <c r="E613" s="17"/>
    </row>
    <row r="614">
      <c r="A614" s="17"/>
      <c r="B614" s="17"/>
      <c r="C614" s="17"/>
      <c r="D614" s="17"/>
      <c r="E614" s="17"/>
    </row>
    <row r="615">
      <c r="A615" s="17"/>
      <c r="B615" s="17"/>
      <c r="C615" s="17"/>
      <c r="D615" s="17"/>
      <c r="E615" s="17"/>
    </row>
    <row r="616">
      <c r="A616" s="17"/>
      <c r="B616" s="17"/>
      <c r="C616" s="17"/>
      <c r="D616" s="17"/>
      <c r="E616" s="17"/>
    </row>
    <row r="617">
      <c r="A617" s="17"/>
      <c r="B617" s="17"/>
      <c r="C617" s="17"/>
      <c r="D617" s="17"/>
      <c r="E617" s="17"/>
    </row>
    <row r="618">
      <c r="A618" s="17"/>
      <c r="B618" s="17"/>
      <c r="C618" s="17"/>
      <c r="D618" s="17"/>
      <c r="E618" s="17"/>
    </row>
    <row r="619">
      <c r="A619" s="17"/>
      <c r="B619" s="17"/>
      <c r="C619" s="17"/>
      <c r="D619" s="17"/>
      <c r="E619" s="17"/>
    </row>
    <row r="620">
      <c r="A620" s="17"/>
      <c r="B620" s="17"/>
      <c r="C620" s="17"/>
      <c r="D620" s="17"/>
      <c r="E620" s="17"/>
    </row>
    <row r="621">
      <c r="A621" s="17"/>
      <c r="B621" s="17"/>
      <c r="C621" s="17"/>
      <c r="D621" s="17"/>
      <c r="E621" s="17"/>
    </row>
    <row r="622">
      <c r="A622" s="17"/>
      <c r="B622" s="17"/>
      <c r="C622" s="17"/>
      <c r="D622" s="17"/>
      <c r="E622" s="17"/>
    </row>
    <row r="623">
      <c r="A623" s="17"/>
      <c r="B623" s="17"/>
      <c r="C623" s="17"/>
      <c r="D623" s="17"/>
      <c r="E623" s="17"/>
    </row>
    <row r="624">
      <c r="A624" s="17"/>
      <c r="B624" s="17"/>
      <c r="C624" s="17"/>
      <c r="D624" s="17"/>
      <c r="E624" s="17"/>
    </row>
    <row r="625">
      <c r="A625" s="17"/>
      <c r="B625" s="17"/>
      <c r="C625" s="17"/>
      <c r="D625" s="17"/>
      <c r="E625" s="17"/>
    </row>
    <row r="626">
      <c r="A626" s="17"/>
      <c r="B626" s="17"/>
      <c r="C626" s="17"/>
      <c r="D626" s="17"/>
      <c r="E626" s="17"/>
    </row>
    <row r="627">
      <c r="A627" s="17"/>
      <c r="B627" s="17"/>
      <c r="C627" s="17"/>
      <c r="D627" s="17"/>
      <c r="E627" s="17"/>
    </row>
    <row r="628">
      <c r="A628" s="17"/>
      <c r="B628" s="17"/>
      <c r="C628" s="17"/>
      <c r="D628" s="17"/>
      <c r="E628" s="17"/>
    </row>
    <row r="629">
      <c r="A629" s="17"/>
      <c r="B629" s="17"/>
      <c r="C629" s="17"/>
      <c r="D629" s="17"/>
      <c r="E629" s="17"/>
    </row>
    <row r="630">
      <c r="A630" s="17"/>
      <c r="B630" s="17"/>
      <c r="C630" s="17"/>
      <c r="D630" s="17"/>
      <c r="E630" s="17"/>
    </row>
    <row r="631">
      <c r="A631" s="17"/>
      <c r="B631" s="17"/>
      <c r="C631" s="17"/>
      <c r="D631" s="17"/>
      <c r="E631" s="17"/>
    </row>
    <row r="632">
      <c r="A632" s="17"/>
      <c r="B632" s="17"/>
      <c r="C632" s="17"/>
      <c r="D632" s="17"/>
      <c r="E632" s="17"/>
    </row>
    <row r="633">
      <c r="A633" s="17"/>
      <c r="B633" s="17"/>
      <c r="C633" s="17"/>
      <c r="D633" s="17"/>
      <c r="E633" s="17"/>
    </row>
    <row r="634">
      <c r="A634" s="17"/>
      <c r="B634" s="17"/>
      <c r="C634" s="17"/>
      <c r="D634" s="17"/>
      <c r="E634" s="17"/>
    </row>
    <row r="635">
      <c r="A635" s="17"/>
      <c r="B635" s="17"/>
      <c r="C635" s="17"/>
      <c r="D635" s="17"/>
      <c r="E635" s="17"/>
    </row>
    <row r="636">
      <c r="A636" s="17"/>
      <c r="B636" s="17"/>
      <c r="C636" s="17"/>
      <c r="D636" s="17"/>
      <c r="E636" s="17"/>
    </row>
    <row r="637">
      <c r="A637" s="17"/>
      <c r="B637" s="17"/>
      <c r="C637" s="17"/>
      <c r="D637" s="17"/>
      <c r="E637" s="17"/>
    </row>
    <row r="638">
      <c r="A638" s="17"/>
      <c r="B638" s="17"/>
      <c r="C638" s="17"/>
      <c r="D638" s="17"/>
      <c r="E638" s="17"/>
    </row>
    <row r="639">
      <c r="A639" s="17"/>
      <c r="B639" s="17"/>
      <c r="C639" s="17"/>
      <c r="D639" s="17"/>
      <c r="E639" s="17"/>
    </row>
    <row r="640">
      <c r="A640" s="17"/>
      <c r="B640" s="17"/>
      <c r="C640" s="17"/>
      <c r="D640" s="17"/>
      <c r="E640" s="17"/>
    </row>
    <row r="641">
      <c r="A641" s="17"/>
      <c r="B641" s="17"/>
      <c r="C641" s="17"/>
      <c r="D641" s="17"/>
      <c r="E641" s="17"/>
    </row>
    <row r="642">
      <c r="A642" s="17"/>
      <c r="B642" s="17"/>
      <c r="C642" s="17"/>
      <c r="D642" s="17"/>
      <c r="E642" s="17"/>
    </row>
    <row r="643">
      <c r="A643" s="17"/>
      <c r="B643" s="17"/>
      <c r="C643" s="17"/>
      <c r="D643" s="17"/>
      <c r="E643" s="17"/>
    </row>
    <row r="644">
      <c r="A644" s="17"/>
      <c r="B644" s="17"/>
      <c r="C644" s="17"/>
      <c r="D644" s="17"/>
      <c r="E644" s="17"/>
    </row>
    <row r="645">
      <c r="A645" s="17"/>
      <c r="B645" s="17"/>
      <c r="C645" s="17"/>
      <c r="D645" s="17"/>
      <c r="E645" s="17"/>
    </row>
    <row r="646">
      <c r="A646" s="17"/>
      <c r="B646" s="17"/>
      <c r="C646" s="17"/>
      <c r="D646" s="17"/>
      <c r="E646" s="17"/>
    </row>
    <row r="647">
      <c r="A647" s="17"/>
      <c r="B647" s="17"/>
      <c r="C647" s="17"/>
      <c r="D647" s="17"/>
      <c r="E647" s="17"/>
    </row>
    <row r="648">
      <c r="A648" s="17"/>
      <c r="B648" s="17"/>
      <c r="C648" s="17"/>
      <c r="D648" s="17"/>
      <c r="E648" s="17"/>
    </row>
    <row r="649">
      <c r="A649" s="17"/>
      <c r="B649" s="17"/>
      <c r="C649" s="17"/>
      <c r="D649" s="17"/>
      <c r="E649" s="17"/>
    </row>
    <row r="650">
      <c r="A650" s="17"/>
      <c r="B650" s="17"/>
      <c r="C650" s="17"/>
      <c r="D650" s="17"/>
      <c r="E650" s="17"/>
    </row>
    <row r="651">
      <c r="A651" s="17"/>
      <c r="B651" s="17"/>
      <c r="C651" s="17"/>
      <c r="D651" s="17"/>
      <c r="E651" s="17"/>
    </row>
    <row r="652">
      <c r="A652" s="17"/>
      <c r="B652" s="17"/>
      <c r="C652" s="17"/>
      <c r="D652" s="17"/>
      <c r="E652" s="17"/>
    </row>
    <row r="653">
      <c r="A653" s="17"/>
      <c r="B653" s="17"/>
      <c r="C653" s="17"/>
      <c r="D653" s="17"/>
      <c r="E653" s="17"/>
    </row>
    <row r="654">
      <c r="A654" s="17"/>
      <c r="B654" s="17"/>
      <c r="C654" s="17"/>
      <c r="D654" s="17"/>
      <c r="E654" s="17"/>
    </row>
    <row r="655">
      <c r="A655" s="17"/>
      <c r="B655" s="17"/>
      <c r="C655" s="17"/>
      <c r="D655" s="17"/>
      <c r="E655" s="17"/>
    </row>
    <row r="656">
      <c r="A656" s="17"/>
      <c r="B656" s="17"/>
      <c r="C656" s="17"/>
      <c r="D656" s="17"/>
      <c r="E656" s="17"/>
    </row>
    <row r="657">
      <c r="A657" s="17"/>
      <c r="B657" s="17"/>
      <c r="C657" s="17"/>
      <c r="D657" s="17"/>
      <c r="E657" s="17"/>
    </row>
    <row r="658">
      <c r="A658" s="17"/>
      <c r="B658" s="17"/>
      <c r="C658" s="17"/>
      <c r="D658" s="17"/>
      <c r="E658" s="17"/>
    </row>
    <row r="659">
      <c r="A659" s="17"/>
      <c r="B659" s="17"/>
      <c r="C659" s="17"/>
      <c r="D659" s="17"/>
      <c r="E659" s="17"/>
    </row>
    <row r="660">
      <c r="A660" s="17"/>
      <c r="B660" s="17"/>
      <c r="C660" s="17"/>
      <c r="D660" s="17"/>
      <c r="E660" s="17"/>
    </row>
    <row r="661">
      <c r="A661" s="17"/>
      <c r="B661" s="17"/>
      <c r="C661" s="17"/>
      <c r="D661" s="17"/>
      <c r="E661" s="17"/>
    </row>
    <row r="662">
      <c r="A662" s="17"/>
      <c r="B662" s="17"/>
      <c r="C662" s="17"/>
      <c r="D662" s="17"/>
      <c r="E662" s="17"/>
    </row>
    <row r="663">
      <c r="A663" s="17"/>
      <c r="B663" s="17"/>
      <c r="C663" s="17"/>
      <c r="D663" s="17"/>
      <c r="E663" s="17"/>
    </row>
    <row r="664">
      <c r="A664" s="17"/>
      <c r="B664" s="17"/>
      <c r="C664" s="17"/>
      <c r="D664" s="17"/>
      <c r="E664" s="17"/>
    </row>
    <row r="665">
      <c r="A665" s="17"/>
      <c r="B665" s="17"/>
      <c r="C665" s="17"/>
      <c r="D665" s="17"/>
      <c r="E665" s="17"/>
    </row>
    <row r="666">
      <c r="A666" s="17"/>
      <c r="B666" s="17"/>
      <c r="C666" s="17"/>
      <c r="D666" s="17"/>
      <c r="E666" s="17"/>
    </row>
    <row r="667">
      <c r="A667" s="17"/>
      <c r="B667" s="17"/>
      <c r="C667" s="17"/>
      <c r="D667" s="17"/>
      <c r="E667" s="17"/>
    </row>
    <row r="668">
      <c r="A668" s="17"/>
      <c r="B668" s="17"/>
      <c r="C668" s="17"/>
      <c r="D668" s="17"/>
      <c r="E668" s="17"/>
    </row>
    <row r="669">
      <c r="A669" s="17"/>
      <c r="B669" s="17"/>
      <c r="C669" s="17"/>
      <c r="D669" s="17"/>
      <c r="E669" s="17"/>
    </row>
    <row r="670">
      <c r="A670" s="17"/>
      <c r="B670" s="17"/>
      <c r="C670" s="17"/>
      <c r="D670" s="17"/>
      <c r="E670" s="17"/>
    </row>
    <row r="671">
      <c r="A671" s="17"/>
      <c r="B671" s="17"/>
      <c r="C671" s="17"/>
      <c r="D671" s="17"/>
      <c r="E671" s="17"/>
    </row>
    <row r="672">
      <c r="A672" s="17"/>
      <c r="B672" s="17"/>
      <c r="C672" s="17"/>
      <c r="D672" s="17"/>
      <c r="E672" s="17"/>
    </row>
    <row r="673">
      <c r="A673" s="17"/>
      <c r="B673" s="17"/>
      <c r="C673" s="17"/>
      <c r="D673" s="17"/>
      <c r="E673" s="17"/>
    </row>
    <row r="674">
      <c r="A674" s="17"/>
      <c r="B674" s="17"/>
      <c r="C674" s="17"/>
      <c r="D674" s="17"/>
      <c r="E674" s="17"/>
    </row>
    <row r="675">
      <c r="A675" s="17"/>
      <c r="B675" s="17"/>
      <c r="C675" s="17"/>
      <c r="D675" s="17"/>
      <c r="E675" s="17"/>
    </row>
    <row r="676">
      <c r="A676" s="17"/>
      <c r="B676" s="17"/>
      <c r="C676" s="17"/>
      <c r="D676" s="17"/>
      <c r="E676" s="17"/>
    </row>
    <row r="677">
      <c r="A677" s="17"/>
      <c r="B677" s="17"/>
      <c r="C677" s="17"/>
      <c r="D677" s="17"/>
      <c r="E677" s="17"/>
    </row>
    <row r="678">
      <c r="A678" s="17"/>
      <c r="B678" s="17"/>
      <c r="C678" s="17"/>
      <c r="D678" s="17"/>
      <c r="E678" s="17"/>
    </row>
    <row r="679">
      <c r="A679" s="17"/>
      <c r="B679" s="17"/>
      <c r="C679" s="17"/>
      <c r="D679" s="17"/>
      <c r="E679" s="17"/>
    </row>
    <row r="680">
      <c r="A680" s="17"/>
      <c r="B680" s="17"/>
      <c r="C680" s="17"/>
      <c r="D680" s="17"/>
      <c r="E680" s="17"/>
    </row>
    <row r="681">
      <c r="A681" s="17"/>
      <c r="B681" s="17"/>
      <c r="C681" s="17"/>
      <c r="D681" s="17"/>
      <c r="E681" s="17"/>
    </row>
    <row r="682">
      <c r="A682" s="17"/>
      <c r="B682" s="17"/>
      <c r="C682" s="17"/>
      <c r="D682" s="17"/>
      <c r="E682" s="17"/>
    </row>
    <row r="683">
      <c r="A683" s="17"/>
      <c r="B683" s="17"/>
      <c r="C683" s="17"/>
      <c r="D683" s="17"/>
      <c r="E683" s="17"/>
    </row>
    <row r="684">
      <c r="A684" s="17"/>
      <c r="B684" s="17"/>
      <c r="C684" s="17"/>
      <c r="D684" s="17"/>
      <c r="E684" s="17"/>
    </row>
    <row r="685">
      <c r="A685" s="17"/>
      <c r="B685" s="17"/>
      <c r="C685" s="17"/>
      <c r="D685" s="17"/>
      <c r="E685" s="17"/>
    </row>
    <row r="686">
      <c r="A686" s="17"/>
      <c r="B686" s="17"/>
      <c r="C686" s="17"/>
      <c r="D686" s="17"/>
      <c r="E686" s="17"/>
    </row>
    <row r="687">
      <c r="A687" s="17"/>
      <c r="B687" s="17"/>
      <c r="C687" s="17"/>
      <c r="D687" s="17"/>
      <c r="E687" s="17"/>
    </row>
    <row r="688">
      <c r="A688" s="17"/>
      <c r="B688" s="17"/>
      <c r="C688" s="17"/>
      <c r="D688" s="17"/>
      <c r="E688" s="17"/>
    </row>
    <row r="689">
      <c r="A689" s="17"/>
      <c r="B689" s="17"/>
      <c r="C689" s="17"/>
      <c r="D689" s="17"/>
      <c r="E689" s="17"/>
    </row>
    <row r="690">
      <c r="A690" s="17"/>
      <c r="B690" s="17"/>
      <c r="C690" s="17"/>
      <c r="D690" s="17"/>
      <c r="E690" s="17"/>
    </row>
    <row r="691">
      <c r="A691" s="17"/>
      <c r="B691" s="17"/>
      <c r="C691" s="17"/>
      <c r="D691" s="17"/>
      <c r="E691" s="17"/>
    </row>
    <row r="692">
      <c r="A692" s="17"/>
      <c r="B692" s="17"/>
      <c r="C692" s="17"/>
      <c r="D692" s="17"/>
      <c r="E692" s="17"/>
    </row>
    <row r="693">
      <c r="A693" s="17"/>
      <c r="B693" s="17"/>
      <c r="C693" s="17"/>
      <c r="D693" s="17"/>
      <c r="E693" s="17"/>
    </row>
    <row r="694">
      <c r="A694" s="17"/>
      <c r="B694" s="17"/>
      <c r="C694" s="17"/>
      <c r="D694" s="17"/>
      <c r="E694" s="17"/>
    </row>
    <row r="695">
      <c r="A695" s="17"/>
      <c r="B695" s="17"/>
      <c r="C695" s="17"/>
      <c r="D695" s="17"/>
      <c r="E695" s="17"/>
    </row>
    <row r="696">
      <c r="A696" s="17"/>
      <c r="B696" s="17"/>
      <c r="C696" s="17"/>
      <c r="D696" s="17"/>
      <c r="E696" s="17"/>
    </row>
    <row r="697">
      <c r="A697" s="17"/>
      <c r="B697" s="17"/>
      <c r="C697" s="17"/>
      <c r="D697" s="17"/>
      <c r="E697" s="17"/>
    </row>
    <row r="698">
      <c r="A698" s="17"/>
      <c r="B698" s="17"/>
      <c r="C698" s="17"/>
      <c r="D698" s="17"/>
      <c r="E698" s="17"/>
    </row>
    <row r="699">
      <c r="A699" s="17"/>
      <c r="B699" s="17"/>
      <c r="C699" s="17"/>
      <c r="D699" s="17"/>
      <c r="E699" s="17"/>
    </row>
    <row r="700">
      <c r="A700" s="17"/>
      <c r="B700" s="17"/>
      <c r="C700" s="17"/>
      <c r="D700" s="17"/>
      <c r="E700" s="17"/>
    </row>
    <row r="701">
      <c r="A701" s="17"/>
      <c r="B701" s="17"/>
      <c r="C701" s="17"/>
      <c r="D701" s="17"/>
      <c r="E701" s="17"/>
    </row>
    <row r="702">
      <c r="A702" s="17"/>
      <c r="B702" s="17"/>
      <c r="C702" s="17"/>
      <c r="D702" s="17"/>
      <c r="E702" s="17"/>
    </row>
    <row r="703">
      <c r="A703" s="17"/>
      <c r="B703" s="17"/>
      <c r="C703" s="17"/>
      <c r="D703" s="17"/>
      <c r="E703" s="17"/>
    </row>
    <row r="704">
      <c r="A704" s="17"/>
      <c r="B704" s="17"/>
      <c r="C704" s="17"/>
      <c r="D704" s="17"/>
      <c r="E704" s="17"/>
    </row>
    <row r="705">
      <c r="A705" s="17"/>
      <c r="B705" s="17"/>
      <c r="C705" s="17"/>
      <c r="D705" s="17"/>
      <c r="E705" s="17"/>
    </row>
    <row r="706">
      <c r="A706" s="17"/>
      <c r="B706" s="17"/>
      <c r="C706" s="17"/>
      <c r="D706" s="17"/>
      <c r="E706" s="17"/>
    </row>
    <row r="707">
      <c r="A707" s="17"/>
      <c r="B707" s="17"/>
      <c r="C707" s="17"/>
      <c r="D707" s="17"/>
      <c r="E707" s="17"/>
    </row>
    <row r="708">
      <c r="A708" s="17"/>
      <c r="B708" s="17"/>
      <c r="C708" s="17"/>
      <c r="D708" s="17"/>
      <c r="E708" s="17"/>
    </row>
    <row r="709">
      <c r="A709" s="17"/>
      <c r="B709" s="17"/>
      <c r="C709" s="17"/>
      <c r="D709" s="17"/>
      <c r="E709" s="17"/>
    </row>
    <row r="710">
      <c r="A710" s="17"/>
      <c r="B710" s="17"/>
      <c r="C710" s="17"/>
      <c r="D710" s="17"/>
      <c r="E710" s="17"/>
    </row>
    <row r="711">
      <c r="A711" s="17"/>
      <c r="B711" s="17"/>
      <c r="C711" s="17"/>
      <c r="D711" s="17"/>
      <c r="E711" s="17"/>
    </row>
    <row r="712">
      <c r="A712" s="17"/>
      <c r="B712" s="17"/>
      <c r="C712" s="17"/>
      <c r="D712" s="17"/>
      <c r="E712" s="17"/>
    </row>
    <row r="713">
      <c r="A713" s="17"/>
      <c r="B713" s="17"/>
      <c r="C713" s="17"/>
      <c r="D713" s="17"/>
      <c r="E713" s="17"/>
    </row>
    <row r="714">
      <c r="A714" s="17"/>
      <c r="B714" s="17"/>
      <c r="C714" s="17"/>
      <c r="D714" s="17"/>
      <c r="E714" s="17"/>
    </row>
    <row r="715">
      <c r="A715" s="17"/>
      <c r="B715" s="17"/>
      <c r="C715" s="17"/>
      <c r="D715" s="17"/>
      <c r="E715" s="17"/>
    </row>
    <row r="716">
      <c r="A716" s="17"/>
      <c r="B716" s="17"/>
      <c r="C716" s="17"/>
      <c r="D716" s="17"/>
      <c r="E716" s="17"/>
    </row>
    <row r="717">
      <c r="A717" s="17"/>
      <c r="B717" s="17"/>
      <c r="C717" s="17"/>
      <c r="D717" s="17"/>
      <c r="E717" s="17"/>
    </row>
    <row r="718">
      <c r="A718" s="17"/>
      <c r="B718" s="17"/>
      <c r="C718" s="17"/>
      <c r="D718" s="17"/>
      <c r="E718" s="17"/>
    </row>
    <row r="719">
      <c r="A719" s="17"/>
      <c r="B719" s="17"/>
      <c r="C719" s="17"/>
      <c r="D719" s="17"/>
      <c r="E719" s="17"/>
    </row>
    <row r="720">
      <c r="A720" s="17"/>
      <c r="B720" s="17"/>
      <c r="C720" s="17"/>
      <c r="D720" s="17"/>
      <c r="E720" s="17"/>
    </row>
    <row r="721">
      <c r="A721" s="17"/>
      <c r="B721" s="17"/>
      <c r="C721" s="17"/>
      <c r="D721" s="17"/>
      <c r="E721" s="17"/>
    </row>
    <row r="722">
      <c r="A722" s="17"/>
      <c r="B722" s="17"/>
      <c r="C722" s="17"/>
      <c r="D722" s="17"/>
      <c r="E722" s="17"/>
    </row>
    <row r="723">
      <c r="A723" s="17"/>
      <c r="B723" s="17"/>
      <c r="C723" s="17"/>
      <c r="D723" s="17"/>
      <c r="E723" s="17"/>
    </row>
    <row r="724">
      <c r="A724" s="17"/>
      <c r="B724" s="17"/>
      <c r="C724" s="17"/>
      <c r="D724" s="17"/>
      <c r="E724" s="17"/>
    </row>
    <row r="725">
      <c r="A725" s="17"/>
      <c r="B725" s="17"/>
      <c r="C725" s="17"/>
      <c r="D725" s="17"/>
      <c r="E725" s="17"/>
    </row>
    <row r="726">
      <c r="A726" s="17"/>
      <c r="B726" s="17"/>
      <c r="C726" s="17"/>
      <c r="D726" s="17"/>
      <c r="E726" s="17"/>
    </row>
    <row r="727">
      <c r="A727" s="17"/>
      <c r="B727" s="17"/>
      <c r="C727" s="17"/>
      <c r="D727" s="17"/>
      <c r="E727" s="17"/>
    </row>
    <row r="728">
      <c r="A728" s="17"/>
      <c r="B728" s="17"/>
      <c r="C728" s="17"/>
      <c r="D728" s="17"/>
      <c r="E728" s="17"/>
    </row>
    <row r="729">
      <c r="A729" s="17"/>
      <c r="B729" s="17"/>
      <c r="C729" s="17"/>
      <c r="D729" s="17"/>
      <c r="E729" s="17"/>
    </row>
    <row r="730">
      <c r="A730" s="17"/>
      <c r="B730" s="17"/>
      <c r="C730" s="17"/>
      <c r="D730" s="17"/>
      <c r="E730" s="17"/>
    </row>
    <row r="731">
      <c r="A731" s="17"/>
      <c r="B731" s="17"/>
      <c r="C731" s="17"/>
      <c r="D731" s="17"/>
      <c r="E731" s="17"/>
    </row>
    <row r="732">
      <c r="A732" s="17"/>
      <c r="B732" s="17"/>
      <c r="C732" s="17"/>
      <c r="D732" s="17"/>
      <c r="E732" s="17"/>
    </row>
    <row r="733">
      <c r="A733" s="17"/>
      <c r="B733" s="17"/>
      <c r="C733" s="17"/>
      <c r="D733" s="17"/>
      <c r="E733" s="17"/>
    </row>
    <row r="734">
      <c r="A734" s="17"/>
      <c r="B734" s="17"/>
      <c r="C734" s="17"/>
      <c r="D734" s="17"/>
      <c r="E734" s="17"/>
    </row>
    <row r="735">
      <c r="A735" s="17"/>
      <c r="B735" s="17"/>
      <c r="C735" s="17"/>
      <c r="D735" s="17"/>
      <c r="E735" s="17"/>
    </row>
    <row r="736">
      <c r="A736" s="17"/>
      <c r="B736" s="17"/>
      <c r="C736" s="17"/>
      <c r="D736" s="17"/>
      <c r="E736" s="17"/>
    </row>
    <row r="737">
      <c r="A737" s="17"/>
      <c r="B737" s="17"/>
      <c r="C737" s="17"/>
      <c r="D737" s="17"/>
      <c r="E737" s="17"/>
    </row>
    <row r="738">
      <c r="A738" s="17"/>
      <c r="B738" s="17"/>
      <c r="C738" s="17"/>
      <c r="D738" s="17"/>
      <c r="E738" s="17"/>
    </row>
    <row r="739">
      <c r="A739" s="17"/>
      <c r="B739" s="17"/>
      <c r="C739" s="17"/>
      <c r="D739" s="17"/>
      <c r="E739" s="17"/>
    </row>
    <row r="740">
      <c r="A740" s="17"/>
      <c r="B740" s="17"/>
      <c r="C740" s="17"/>
      <c r="D740" s="17"/>
      <c r="E740" s="17"/>
    </row>
    <row r="741">
      <c r="A741" s="17"/>
      <c r="B741" s="17"/>
      <c r="C741" s="17"/>
      <c r="D741" s="17"/>
      <c r="E741" s="17"/>
    </row>
    <row r="742">
      <c r="A742" s="17"/>
      <c r="B742" s="17"/>
      <c r="C742" s="17"/>
      <c r="D742" s="17"/>
      <c r="E742" s="17"/>
    </row>
    <row r="743">
      <c r="A743" s="17"/>
      <c r="B743" s="17"/>
      <c r="C743" s="17"/>
      <c r="D743" s="17"/>
      <c r="E743" s="17"/>
    </row>
    <row r="744">
      <c r="A744" s="17"/>
      <c r="B744" s="17"/>
      <c r="C744" s="17"/>
      <c r="D744" s="17"/>
      <c r="E744" s="17"/>
    </row>
    <row r="745">
      <c r="A745" s="17"/>
      <c r="B745" s="17"/>
      <c r="C745" s="17"/>
      <c r="D745" s="17"/>
      <c r="E745" s="17"/>
    </row>
    <row r="746">
      <c r="A746" s="17"/>
      <c r="B746" s="17"/>
      <c r="C746" s="17"/>
      <c r="D746" s="17"/>
      <c r="E746" s="17"/>
    </row>
    <row r="747">
      <c r="A747" s="17"/>
      <c r="B747" s="17"/>
      <c r="C747" s="17"/>
      <c r="D747" s="17"/>
      <c r="E747" s="17"/>
    </row>
    <row r="748">
      <c r="A748" s="17"/>
      <c r="B748" s="17"/>
      <c r="C748" s="17"/>
      <c r="D748" s="17"/>
      <c r="E748" s="17"/>
    </row>
    <row r="749">
      <c r="A749" s="17"/>
      <c r="B749" s="17"/>
      <c r="C749" s="17"/>
      <c r="D749" s="17"/>
      <c r="E749" s="17"/>
    </row>
    <row r="750">
      <c r="A750" s="17"/>
      <c r="B750" s="17"/>
      <c r="C750" s="17"/>
      <c r="D750" s="17"/>
      <c r="E750" s="17"/>
    </row>
    <row r="751">
      <c r="A751" s="17"/>
      <c r="B751" s="17"/>
      <c r="C751" s="17"/>
      <c r="D751" s="17"/>
      <c r="E751" s="17"/>
    </row>
    <row r="752">
      <c r="A752" s="17"/>
      <c r="B752" s="17"/>
      <c r="C752" s="17"/>
      <c r="D752" s="17"/>
      <c r="E752" s="17"/>
    </row>
    <row r="753">
      <c r="A753" s="17"/>
      <c r="B753" s="17"/>
      <c r="C753" s="17"/>
      <c r="D753" s="17"/>
      <c r="E753" s="17"/>
    </row>
    <row r="754">
      <c r="A754" s="17"/>
      <c r="B754" s="17"/>
      <c r="C754" s="17"/>
      <c r="D754" s="17"/>
      <c r="E754" s="17"/>
    </row>
    <row r="755">
      <c r="A755" s="17"/>
      <c r="B755" s="17"/>
      <c r="C755" s="17"/>
      <c r="D755" s="17"/>
      <c r="E755" s="17"/>
    </row>
    <row r="756">
      <c r="A756" s="17"/>
      <c r="B756" s="17"/>
      <c r="C756" s="17"/>
      <c r="D756" s="17"/>
      <c r="E756" s="17"/>
    </row>
    <row r="757">
      <c r="A757" s="17"/>
      <c r="B757" s="17"/>
      <c r="C757" s="17"/>
      <c r="D757" s="17"/>
      <c r="E757" s="17"/>
    </row>
    <row r="758">
      <c r="A758" s="17"/>
      <c r="B758" s="17"/>
      <c r="C758" s="17"/>
      <c r="D758" s="17"/>
      <c r="E758" s="17"/>
    </row>
    <row r="759">
      <c r="A759" s="17"/>
      <c r="B759" s="17"/>
      <c r="C759" s="17"/>
      <c r="D759" s="17"/>
      <c r="E759" s="17"/>
    </row>
    <row r="760">
      <c r="A760" s="17"/>
      <c r="B760" s="17"/>
      <c r="C760" s="17"/>
      <c r="D760" s="17"/>
      <c r="E760" s="17"/>
    </row>
    <row r="761">
      <c r="A761" s="17"/>
      <c r="B761" s="17"/>
      <c r="C761" s="17"/>
      <c r="D761" s="17"/>
      <c r="E761" s="17"/>
    </row>
    <row r="762">
      <c r="A762" s="17"/>
      <c r="B762" s="17"/>
      <c r="C762" s="17"/>
      <c r="D762" s="17"/>
      <c r="E762" s="17"/>
    </row>
    <row r="763">
      <c r="A763" s="17"/>
      <c r="B763" s="17"/>
      <c r="C763" s="17"/>
      <c r="D763" s="17"/>
      <c r="E763" s="17"/>
    </row>
    <row r="764">
      <c r="A764" s="17"/>
      <c r="B764" s="17"/>
      <c r="C764" s="17"/>
      <c r="D764" s="17"/>
      <c r="E764" s="17"/>
    </row>
    <row r="765">
      <c r="A765" s="17"/>
      <c r="B765" s="17"/>
      <c r="C765" s="17"/>
      <c r="D765" s="17"/>
      <c r="E765" s="17"/>
    </row>
    <row r="766">
      <c r="A766" s="17"/>
      <c r="B766" s="17"/>
      <c r="C766" s="17"/>
      <c r="D766" s="17"/>
      <c r="E766" s="17"/>
    </row>
    <row r="767">
      <c r="A767" s="17"/>
      <c r="B767" s="17"/>
      <c r="C767" s="17"/>
      <c r="D767" s="17"/>
      <c r="E767" s="17"/>
    </row>
    <row r="768">
      <c r="A768" s="17"/>
      <c r="B768" s="17"/>
      <c r="C768" s="17"/>
      <c r="D768" s="17"/>
      <c r="E768" s="17"/>
    </row>
    <row r="769">
      <c r="A769" s="17"/>
      <c r="B769" s="17"/>
      <c r="C769" s="17"/>
      <c r="D769" s="17"/>
      <c r="E769" s="17"/>
    </row>
    <row r="770">
      <c r="A770" s="17"/>
      <c r="B770" s="17"/>
      <c r="C770" s="17"/>
      <c r="D770" s="17"/>
      <c r="E770" s="17"/>
    </row>
    <row r="771">
      <c r="A771" s="17"/>
      <c r="B771" s="17"/>
      <c r="C771" s="17"/>
      <c r="D771" s="17"/>
      <c r="E771" s="17"/>
    </row>
    <row r="772">
      <c r="A772" s="17"/>
      <c r="B772" s="17"/>
      <c r="C772" s="17"/>
      <c r="D772" s="17"/>
      <c r="E772" s="17"/>
    </row>
    <row r="773">
      <c r="A773" s="17"/>
      <c r="B773" s="17"/>
      <c r="C773" s="17"/>
      <c r="D773" s="17"/>
      <c r="E773" s="17"/>
    </row>
    <row r="774">
      <c r="A774" s="17"/>
      <c r="B774" s="17"/>
      <c r="C774" s="17"/>
      <c r="D774" s="17"/>
      <c r="E774" s="17"/>
    </row>
    <row r="775">
      <c r="A775" s="17"/>
      <c r="B775" s="17"/>
      <c r="C775" s="17"/>
      <c r="D775" s="17"/>
      <c r="E775" s="17"/>
    </row>
    <row r="776">
      <c r="A776" s="17"/>
      <c r="B776" s="17"/>
      <c r="C776" s="17"/>
      <c r="D776" s="17"/>
      <c r="E776" s="17"/>
    </row>
    <row r="777">
      <c r="A777" s="17"/>
      <c r="B777" s="17"/>
      <c r="C777" s="17"/>
      <c r="D777" s="17"/>
      <c r="E777" s="17"/>
    </row>
    <row r="778">
      <c r="A778" s="17"/>
      <c r="B778" s="17"/>
      <c r="C778" s="17"/>
      <c r="D778" s="17"/>
      <c r="E778" s="17"/>
    </row>
    <row r="779">
      <c r="A779" s="17"/>
      <c r="B779" s="17"/>
      <c r="C779" s="17"/>
      <c r="D779" s="17"/>
      <c r="E779" s="17"/>
    </row>
    <row r="780">
      <c r="A780" s="17"/>
      <c r="B780" s="17"/>
      <c r="C780" s="17"/>
      <c r="D780" s="17"/>
      <c r="E780" s="17"/>
    </row>
    <row r="781">
      <c r="A781" s="17"/>
      <c r="B781" s="17"/>
      <c r="C781" s="17"/>
      <c r="D781" s="17"/>
      <c r="E781" s="17"/>
    </row>
    <row r="782">
      <c r="A782" s="17"/>
      <c r="B782" s="17"/>
      <c r="C782" s="17"/>
      <c r="D782" s="17"/>
      <c r="E782" s="17"/>
    </row>
    <row r="783">
      <c r="A783" s="17"/>
      <c r="B783" s="17"/>
      <c r="C783" s="17"/>
      <c r="D783" s="17"/>
      <c r="E783" s="17"/>
    </row>
    <row r="784">
      <c r="A784" s="17"/>
      <c r="B784" s="17"/>
      <c r="C784" s="17"/>
      <c r="D784" s="17"/>
      <c r="E784" s="17"/>
    </row>
    <row r="785">
      <c r="A785" s="17"/>
      <c r="B785" s="17"/>
      <c r="C785" s="17"/>
      <c r="D785" s="17"/>
      <c r="E785" s="17"/>
    </row>
    <row r="786">
      <c r="A786" s="17"/>
      <c r="B786" s="17"/>
      <c r="C786" s="17"/>
      <c r="D786" s="17"/>
      <c r="E786" s="17"/>
    </row>
    <row r="787">
      <c r="A787" s="17"/>
      <c r="B787" s="17"/>
      <c r="C787" s="17"/>
      <c r="D787" s="17"/>
      <c r="E787" s="17"/>
    </row>
    <row r="788">
      <c r="A788" s="17"/>
      <c r="B788" s="17"/>
      <c r="C788" s="17"/>
      <c r="D788" s="17"/>
      <c r="E788" s="17"/>
    </row>
    <row r="789">
      <c r="A789" s="17"/>
      <c r="B789" s="17"/>
      <c r="C789" s="17"/>
      <c r="D789" s="17"/>
      <c r="E789" s="17"/>
    </row>
    <row r="790">
      <c r="A790" s="17"/>
      <c r="B790" s="17"/>
      <c r="C790" s="17"/>
      <c r="D790" s="17"/>
      <c r="E790" s="17"/>
    </row>
    <row r="791">
      <c r="A791" s="17"/>
      <c r="B791" s="17"/>
      <c r="C791" s="17"/>
      <c r="D791" s="17"/>
      <c r="E791" s="17"/>
    </row>
    <row r="792">
      <c r="A792" s="17"/>
      <c r="B792" s="17"/>
      <c r="C792" s="17"/>
      <c r="D792" s="17"/>
      <c r="E792" s="17"/>
    </row>
    <row r="793">
      <c r="A793" s="17"/>
      <c r="B793" s="17"/>
      <c r="C793" s="17"/>
      <c r="D793" s="17"/>
      <c r="E793" s="17"/>
    </row>
    <row r="794">
      <c r="A794" s="17"/>
      <c r="B794" s="17"/>
      <c r="C794" s="17"/>
      <c r="D794" s="17"/>
      <c r="E794" s="17"/>
    </row>
    <row r="795">
      <c r="A795" s="17"/>
      <c r="B795" s="17"/>
      <c r="C795" s="17"/>
      <c r="D795" s="17"/>
      <c r="E795" s="17"/>
    </row>
    <row r="796">
      <c r="A796" s="17"/>
      <c r="B796" s="17"/>
      <c r="C796" s="17"/>
      <c r="D796" s="17"/>
      <c r="E796" s="17"/>
    </row>
    <row r="797">
      <c r="A797" s="17"/>
      <c r="B797" s="17"/>
      <c r="C797" s="17"/>
      <c r="D797" s="17"/>
      <c r="E797" s="17"/>
    </row>
    <row r="798">
      <c r="A798" s="17"/>
      <c r="B798" s="17"/>
      <c r="C798" s="17"/>
      <c r="D798" s="17"/>
      <c r="E798" s="17"/>
    </row>
    <row r="799">
      <c r="A799" s="17"/>
      <c r="B799" s="17"/>
      <c r="C799" s="17"/>
      <c r="D799" s="17"/>
      <c r="E799" s="17"/>
    </row>
    <row r="800">
      <c r="A800" s="17"/>
      <c r="B800" s="17"/>
      <c r="C800" s="17"/>
      <c r="D800" s="17"/>
      <c r="E800" s="17"/>
    </row>
    <row r="801">
      <c r="A801" s="17"/>
      <c r="B801" s="17"/>
      <c r="C801" s="17"/>
      <c r="D801" s="17"/>
      <c r="E801" s="17"/>
    </row>
    <row r="802">
      <c r="A802" s="17"/>
      <c r="B802" s="17"/>
      <c r="C802" s="17"/>
      <c r="D802" s="17"/>
      <c r="E802" s="17"/>
    </row>
    <row r="803">
      <c r="A803" s="17"/>
      <c r="B803" s="17"/>
      <c r="C803" s="17"/>
      <c r="D803" s="17"/>
      <c r="E803" s="17"/>
    </row>
    <row r="804">
      <c r="A804" s="17"/>
      <c r="B804" s="17"/>
      <c r="C804" s="17"/>
      <c r="D804" s="17"/>
      <c r="E804" s="17"/>
    </row>
    <row r="805">
      <c r="A805" s="17"/>
      <c r="B805" s="17"/>
      <c r="C805" s="17"/>
      <c r="D805" s="17"/>
      <c r="E805" s="17"/>
    </row>
    <row r="806">
      <c r="A806" s="17"/>
      <c r="B806" s="17"/>
      <c r="C806" s="17"/>
      <c r="D806" s="17"/>
      <c r="E806" s="17"/>
    </row>
    <row r="807">
      <c r="A807" s="17"/>
      <c r="B807" s="17"/>
      <c r="C807" s="17"/>
      <c r="D807" s="17"/>
      <c r="E807" s="17"/>
    </row>
    <row r="808">
      <c r="A808" s="17"/>
      <c r="B808" s="17"/>
      <c r="C808" s="17"/>
      <c r="D808" s="17"/>
      <c r="E808" s="17"/>
    </row>
    <row r="809">
      <c r="A809" s="17"/>
      <c r="B809" s="17"/>
      <c r="C809" s="17"/>
      <c r="D809" s="17"/>
      <c r="E809" s="17"/>
    </row>
    <row r="810">
      <c r="A810" s="17"/>
      <c r="B810" s="17"/>
      <c r="C810" s="17"/>
      <c r="D810" s="17"/>
      <c r="E810" s="17"/>
    </row>
    <row r="811">
      <c r="A811" s="17"/>
      <c r="B811" s="17"/>
      <c r="C811" s="17"/>
      <c r="D811" s="17"/>
      <c r="E811" s="17"/>
    </row>
    <row r="812">
      <c r="A812" s="17"/>
      <c r="B812" s="17"/>
      <c r="C812" s="17"/>
      <c r="D812" s="17"/>
      <c r="E812" s="17"/>
    </row>
    <row r="813">
      <c r="A813" s="17"/>
      <c r="B813" s="17"/>
      <c r="C813" s="17"/>
      <c r="D813" s="17"/>
      <c r="E813" s="17"/>
    </row>
    <row r="814">
      <c r="A814" s="17"/>
      <c r="B814" s="17"/>
      <c r="C814" s="17"/>
      <c r="D814" s="17"/>
      <c r="E814" s="17"/>
    </row>
    <row r="815">
      <c r="A815" s="17"/>
      <c r="B815" s="17"/>
      <c r="C815" s="17"/>
      <c r="D815" s="17"/>
      <c r="E815" s="17"/>
    </row>
    <row r="816">
      <c r="A816" s="17"/>
      <c r="B816" s="17"/>
      <c r="C816" s="17"/>
      <c r="D816" s="17"/>
      <c r="E816" s="17"/>
    </row>
    <row r="817">
      <c r="A817" s="17"/>
      <c r="B817" s="17"/>
      <c r="C817" s="17"/>
      <c r="D817" s="17"/>
      <c r="E817" s="17"/>
    </row>
    <row r="818">
      <c r="A818" s="17"/>
      <c r="B818" s="17"/>
      <c r="C818" s="17"/>
      <c r="D818" s="17"/>
      <c r="E818" s="17"/>
    </row>
    <row r="819">
      <c r="A819" s="17"/>
      <c r="B819" s="17"/>
      <c r="C819" s="17"/>
      <c r="D819" s="17"/>
      <c r="E819" s="17"/>
    </row>
    <row r="820">
      <c r="A820" s="17"/>
      <c r="B820" s="17"/>
      <c r="C820" s="17"/>
      <c r="D820" s="17"/>
      <c r="E820" s="17"/>
    </row>
    <row r="821">
      <c r="A821" s="17"/>
      <c r="B821" s="17"/>
      <c r="C821" s="17"/>
      <c r="D821" s="17"/>
      <c r="E821" s="17"/>
    </row>
    <row r="822">
      <c r="A822" s="17"/>
      <c r="B822" s="17"/>
      <c r="C822" s="17"/>
      <c r="D822" s="17"/>
      <c r="E822" s="17"/>
    </row>
    <row r="823">
      <c r="A823" s="17"/>
      <c r="B823" s="17"/>
      <c r="C823" s="17"/>
      <c r="D823" s="17"/>
      <c r="E823" s="17"/>
    </row>
    <row r="824">
      <c r="A824" s="17"/>
      <c r="B824" s="17"/>
      <c r="C824" s="17"/>
      <c r="D824" s="17"/>
      <c r="E824" s="17"/>
    </row>
    <row r="825">
      <c r="A825" s="17"/>
      <c r="B825" s="17"/>
      <c r="C825" s="17"/>
      <c r="D825" s="17"/>
      <c r="E825" s="17"/>
    </row>
    <row r="826">
      <c r="A826" s="17"/>
      <c r="B826" s="17"/>
      <c r="C826" s="17"/>
      <c r="D826" s="17"/>
      <c r="E826" s="17"/>
    </row>
    <row r="827">
      <c r="A827" s="17"/>
      <c r="B827" s="17"/>
      <c r="C827" s="17"/>
      <c r="D827" s="17"/>
      <c r="E827" s="17"/>
    </row>
    <row r="828">
      <c r="A828" s="17"/>
      <c r="B828" s="17"/>
      <c r="C828" s="17"/>
      <c r="D828" s="17"/>
      <c r="E828" s="17"/>
    </row>
    <row r="829">
      <c r="A829" s="17"/>
      <c r="B829" s="17"/>
      <c r="C829" s="17"/>
      <c r="D829" s="17"/>
      <c r="E829" s="17"/>
    </row>
    <row r="830">
      <c r="A830" s="17"/>
      <c r="B830" s="17"/>
      <c r="C830" s="17"/>
      <c r="D830" s="17"/>
      <c r="E830" s="17"/>
    </row>
    <row r="831">
      <c r="A831" s="17"/>
      <c r="B831" s="17"/>
      <c r="C831" s="17"/>
      <c r="D831" s="17"/>
      <c r="E831" s="17"/>
    </row>
    <row r="832">
      <c r="A832" s="17"/>
      <c r="B832" s="17"/>
      <c r="C832" s="17"/>
      <c r="D832" s="17"/>
      <c r="E832" s="17"/>
    </row>
    <row r="833">
      <c r="A833" s="17"/>
      <c r="B833" s="17"/>
      <c r="C833" s="17"/>
      <c r="D833" s="17"/>
      <c r="E833" s="17"/>
    </row>
    <row r="834">
      <c r="A834" s="17"/>
      <c r="B834" s="17"/>
      <c r="C834" s="17"/>
      <c r="D834" s="17"/>
      <c r="E834" s="17"/>
    </row>
    <row r="835">
      <c r="A835" s="17"/>
      <c r="B835" s="17"/>
      <c r="C835" s="17"/>
      <c r="D835" s="17"/>
      <c r="E835" s="17"/>
    </row>
    <row r="836">
      <c r="A836" s="17"/>
      <c r="B836" s="17"/>
      <c r="C836" s="17"/>
      <c r="D836" s="17"/>
      <c r="E836" s="17"/>
    </row>
    <row r="837">
      <c r="A837" s="17"/>
      <c r="B837" s="17"/>
      <c r="C837" s="17"/>
      <c r="D837" s="17"/>
      <c r="E837" s="17"/>
    </row>
    <row r="838">
      <c r="A838" s="17"/>
      <c r="B838" s="17"/>
      <c r="C838" s="17"/>
      <c r="D838" s="17"/>
      <c r="E838" s="17"/>
    </row>
    <row r="839">
      <c r="A839" s="17"/>
      <c r="B839" s="17"/>
      <c r="C839" s="17"/>
      <c r="D839" s="17"/>
      <c r="E839" s="17"/>
    </row>
    <row r="840">
      <c r="A840" s="17"/>
      <c r="B840" s="17"/>
      <c r="C840" s="17"/>
      <c r="D840" s="17"/>
      <c r="E840" s="17"/>
    </row>
    <row r="841">
      <c r="A841" s="17"/>
      <c r="B841" s="17"/>
      <c r="C841" s="17"/>
      <c r="D841" s="17"/>
      <c r="E841" s="17"/>
    </row>
    <row r="842">
      <c r="A842" s="17"/>
      <c r="B842" s="17"/>
      <c r="C842" s="17"/>
      <c r="D842" s="17"/>
      <c r="E842" s="17"/>
    </row>
    <row r="843">
      <c r="A843" s="17"/>
      <c r="B843" s="17"/>
      <c r="C843" s="17"/>
      <c r="D843" s="17"/>
      <c r="E843" s="17"/>
    </row>
    <row r="844">
      <c r="A844" s="17"/>
      <c r="B844" s="17"/>
      <c r="C844" s="17"/>
      <c r="D844" s="17"/>
      <c r="E844" s="17"/>
    </row>
    <row r="845">
      <c r="A845" s="17"/>
      <c r="B845" s="17"/>
      <c r="C845" s="17"/>
      <c r="D845" s="17"/>
      <c r="E845" s="17"/>
    </row>
    <row r="846">
      <c r="A846" s="17"/>
      <c r="B846" s="17"/>
      <c r="C846" s="17"/>
      <c r="D846" s="17"/>
      <c r="E846" s="17"/>
    </row>
    <row r="847">
      <c r="A847" s="17"/>
      <c r="B847" s="17"/>
      <c r="C847" s="17"/>
      <c r="D847" s="17"/>
      <c r="E847" s="17"/>
    </row>
    <row r="848">
      <c r="A848" s="17"/>
      <c r="B848" s="17"/>
      <c r="C848" s="17"/>
      <c r="D848" s="17"/>
      <c r="E848" s="17"/>
    </row>
    <row r="849">
      <c r="A849" s="17"/>
      <c r="B849" s="17"/>
      <c r="C849" s="17"/>
      <c r="D849" s="17"/>
      <c r="E849" s="17"/>
    </row>
    <row r="850">
      <c r="A850" s="17"/>
      <c r="B850" s="17"/>
      <c r="C850" s="17"/>
      <c r="D850" s="17"/>
      <c r="E850" s="17"/>
    </row>
    <row r="851">
      <c r="A851" s="17"/>
      <c r="B851" s="17"/>
      <c r="C851" s="17"/>
      <c r="D851" s="17"/>
      <c r="E851" s="17"/>
    </row>
    <row r="852">
      <c r="A852" s="17"/>
      <c r="B852" s="17"/>
      <c r="C852" s="17"/>
      <c r="D852" s="17"/>
      <c r="E852" s="17"/>
    </row>
    <row r="853">
      <c r="A853" s="17"/>
      <c r="B853" s="17"/>
      <c r="C853" s="17"/>
      <c r="D853" s="17"/>
      <c r="E853" s="17"/>
    </row>
    <row r="854">
      <c r="A854" s="17"/>
      <c r="B854" s="17"/>
      <c r="C854" s="17"/>
      <c r="D854" s="17"/>
      <c r="E854" s="17"/>
    </row>
    <row r="855">
      <c r="A855" s="17"/>
      <c r="B855" s="17"/>
      <c r="C855" s="17"/>
      <c r="D855" s="17"/>
      <c r="E855" s="17"/>
    </row>
    <row r="856">
      <c r="A856" s="17"/>
      <c r="B856" s="17"/>
      <c r="C856" s="17"/>
      <c r="D856" s="17"/>
      <c r="E856" s="17"/>
    </row>
    <row r="857">
      <c r="A857" s="17"/>
      <c r="B857" s="17"/>
      <c r="C857" s="17"/>
      <c r="D857" s="17"/>
      <c r="E857" s="17"/>
    </row>
    <row r="858">
      <c r="A858" s="17"/>
      <c r="B858" s="17"/>
      <c r="C858" s="17"/>
      <c r="D858" s="17"/>
      <c r="E858" s="17"/>
    </row>
    <row r="859">
      <c r="A859" s="17"/>
      <c r="B859" s="17"/>
      <c r="C859" s="17"/>
      <c r="D859" s="17"/>
      <c r="E859" s="17"/>
    </row>
    <row r="860">
      <c r="A860" s="17"/>
      <c r="B860" s="17"/>
      <c r="C860" s="17"/>
      <c r="D860" s="17"/>
      <c r="E860" s="17"/>
    </row>
    <row r="861">
      <c r="A861" s="17"/>
      <c r="B861" s="17"/>
      <c r="C861" s="17"/>
      <c r="D861" s="17"/>
      <c r="E861" s="17"/>
    </row>
    <row r="862">
      <c r="A862" s="17"/>
      <c r="B862" s="17"/>
      <c r="C862" s="17"/>
      <c r="D862" s="17"/>
      <c r="E862" s="17"/>
    </row>
    <row r="863">
      <c r="A863" s="17"/>
      <c r="B863" s="17"/>
      <c r="C863" s="17"/>
      <c r="D863" s="17"/>
      <c r="E863" s="17"/>
    </row>
    <row r="864">
      <c r="A864" s="17"/>
      <c r="B864" s="17"/>
      <c r="C864" s="17"/>
      <c r="D864" s="17"/>
      <c r="E864" s="17"/>
    </row>
    <row r="865">
      <c r="A865" s="17"/>
      <c r="B865" s="17"/>
      <c r="C865" s="17"/>
      <c r="D865" s="17"/>
      <c r="E865" s="17"/>
    </row>
    <row r="866">
      <c r="A866" s="17"/>
      <c r="B866" s="17"/>
      <c r="C866" s="17"/>
      <c r="D866" s="17"/>
      <c r="E866" s="17"/>
    </row>
    <row r="867">
      <c r="A867" s="17"/>
      <c r="B867" s="17"/>
      <c r="C867" s="17"/>
      <c r="D867" s="17"/>
      <c r="E867" s="17"/>
    </row>
    <row r="868">
      <c r="A868" s="17"/>
      <c r="B868" s="17"/>
      <c r="C868" s="17"/>
      <c r="D868" s="17"/>
      <c r="E868" s="17"/>
    </row>
    <row r="869">
      <c r="A869" s="17"/>
      <c r="B869" s="17"/>
      <c r="C869" s="17"/>
      <c r="D869" s="17"/>
      <c r="E869" s="17"/>
    </row>
    <row r="870">
      <c r="A870" s="17"/>
      <c r="B870" s="17"/>
      <c r="C870" s="17"/>
      <c r="D870" s="17"/>
      <c r="E870" s="17"/>
    </row>
    <row r="871">
      <c r="A871" s="17"/>
      <c r="B871" s="17"/>
      <c r="C871" s="17"/>
      <c r="D871" s="17"/>
      <c r="E871" s="17"/>
    </row>
    <row r="872">
      <c r="A872" s="17"/>
      <c r="B872" s="17"/>
      <c r="C872" s="17"/>
      <c r="D872" s="17"/>
      <c r="E872" s="17"/>
    </row>
    <row r="873">
      <c r="A873" s="17"/>
      <c r="B873" s="17"/>
      <c r="C873" s="17"/>
      <c r="D873" s="17"/>
      <c r="E873" s="17"/>
    </row>
    <row r="874">
      <c r="A874" s="17"/>
      <c r="B874" s="17"/>
      <c r="C874" s="17"/>
      <c r="D874" s="17"/>
      <c r="E874" s="17"/>
    </row>
    <row r="875">
      <c r="A875" s="17"/>
      <c r="B875" s="17"/>
      <c r="C875" s="17"/>
      <c r="D875" s="17"/>
      <c r="E875" s="17"/>
    </row>
    <row r="876">
      <c r="A876" s="17"/>
      <c r="B876" s="17"/>
      <c r="C876" s="17"/>
      <c r="D876" s="17"/>
      <c r="E876" s="17"/>
    </row>
    <row r="877">
      <c r="A877" s="17"/>
      <c r="B877" s="17"/>
      <c r="C877" s="17"/>
      <c r="D877" s="17"/>
      <c r="E877" s="17"/>
    </row>
    <row r="878">
      <c r="A878" s="17"/>
      <c r="B878" s="17"/>
      <c r="C878" s="17"/>
      <c r="D878" s="17"/>
      <c r="E878" s="17"/>
    </row>
    <row r="879">
      <c r="A879" s="17"/>
      <c r="B879" s="17"/>
      <c r="C879" s="17"/>
      <c r="D879" s="17"/>
      <c r="E879" s="17"/>
    </row>
    <row r="880">
      <c r="A880" s="17"/>
      <c r="B880" s="17"/>
      <c r="C880" s="17"/>
      <c r="D880" s="17"/>
      <c r="E880" s="17"/>
    </row>
    <row r="881">
      <c r="A881" s="17"/>
      <c r="B881" s="17"/>
      <c r="C881" s="17"/>
      <c r="D881" s="17"/>
      <c r="E881" s="17"/>
    </row>
    <row r="882">
      <c r="A882" s="17"/>
      <c r="B882" s="17"/>
      <c r="C882" s="17"/>
      <c r="D882" s="17"/>
      <c r="E882" s="17"/>
    </row>
    <row r="883">
      <c r="A883" s="17"/>
      <c r="B883" s="17"/>
      <c r="C883" s="17"/>
      <c r="D883" s="17"/>
      <c r="E883" s="17"/>
    </row>
    <row r="884">
      <c r="A884" s="17"/>
      <c r="B884" s="17"/>
      <c r="C884" s="17"/>
      <c r="D884" s="17"/>
      <c r="E884" s="17"/>
    </row>
    <row r="885">
      <c r="A885" s="17"/>
      <c r="B885" s="17"/>
      <c r="C885" s="17"/>
      <c r="D885" s="17"/>
      <c r="E885" s="17"/>
    </row>
    <row r="886">
      <c r="A886" s="17"/>
      <c r="B886" s="17"/>
      <c r="C886" s="17"/>
      <c r="D886" s="17"/>
      <c r="E886" s="17"/>
    </row>
    <row r="887">
      <c r="A887" s="17"/>
      <c r="B887" s="17"/>
      <c r="C887" s="17"/>
      <c r="D887" s="17"/>
      <c r="E887" s="17"/>
    </row>
    <row r="888">
      <c r="A888" s="17"/>
      <c r="B888" s="17"/>
      <c r="C888" s="17"/>
      <c r="D888" s="17"/>
      <c r="E888" s="17"/>
    </row>
    <row r="889">
      <c r="A889" s="17"/>
      <c r="B889" s="17"/>
      <c r="C889" s="17"/>
      <c r="D889" s="17"/>
      <c r="E889" s="17"/>
    </row>
    <row r="890">
      <c r="A890" s="17"/>
      <c r="B890" s="17"/>
      <c r="C890" s="17"/>
      <c r="D890" s="17"/>
      <c r="E890" s="17"/>
    </row>
    <row r="891">
      <c r="A891" s="17"/>
      <c r="B891" s="17"/>
      <c r="C891" s="17"/>
      <c r="D891" s="17"/>
      <c r="E891" s="17"/>
    </row>
    <row r="892">
      <c r="A892" s="17"/>
      <c r="B892" s="17"/>
      <c r="C892" s="17"/>
      <c r="D892" s="17"/>
      <c r="E892" s="17"/>
    </row>
    <row r="893">
      <c r="A893" s="17"/>
      <c r="B893" s="17"/>
      <c r="C893" s="17"/>
      <c r="D893" s="17"/>
      <c r="E893" s="17"/>
    </row>
    <row r="894">
      <c r="A894" s="17"/>
      <c r="B894" s="17"/>
      <c r="C894" s="17"/>
      <c r="D894" s="17"/>
      <c r="E894" s="17"/>
    </row>
    <row r="895">
      <c r="A895" s="17"/>
      <c r="B895" s="17"/>
      <c r="C895" s="17"/>
      <c r="D895" s="17"/>
      <c r="E895" s="17"/>
    </row>
    <row r="896">
      <c r="A896" s="17"/>
      <c r="B896" s="17"/>
      <c r="C896" s="17"/>
      <c r="D896" s="17"/>
      <c r="E896" s="17"/>
    </row>
    <row r="897">
      <c r="A897" s="17"/>
      <c r="B897" s="17"/>
      <c r="C897" s="17"/>
      <c r="D897" s="17"/>
      <c r="E897" s="17"/>
    </row>
    <row r="898">
      <c r="A898" s="17"/>
      <c r="B898" s="17"/>
      <c r="C898" s="17"/>
      <c r="D898" s="17"/>
      <c r="E898" s="17"/>
    </row>
    <row r="899">
      <c r="A899" s="17"/>
      <c r="B899" s="17"/>
      <c r="C899" s="17"/>
      <c r="D899" s="17"/>
      <c r="E899" s="17"/>
    </row>
    <row r="900">
      <c r="A900" s="17"/>
      <c r="B900" s="17"/>
      <c r="C900" s="17"/>
      <c r="D900" s="17"/>
      <c r="E900" s="17"/>
    </row>
    <row r="901">
      <c r="A901" s="17"/>
      <c r="B901" s="17"/>
      <c r="C901" s="17"/>
      <c r="D901" s="17"/>
      <c r="E901" s="17"/>
    </row>
    <row r="902">
      <c r="A902" s="17"/>
      <c r="B902" s="17"/>
      <c r="C902" s="17"/>
      <c r="D902" s="17"/>
      <c r="E902" s="17"/>
    </row>
    <row r="903">
      <c r="A903" s="17"/>
      <c r="B903" s="17"/>
      <c r="C903" s="17"/>
      <c r="D903" s="17"/>
      <c r="E903" s="17"/>
    </row>
    <row r="904">
      <c r="A904" s="17"/>
      <c r="B904" s="17"/>
      <c r="C904" s="17"/>
      <c r="D904" s="17"/>
      <c r="E904" s="17"/>
    </row>
    <row r="905">
      <c r="A905" s="17"/>
      <c r="B905" s="17"/>
      <c r="C905" s="17"/>
      <c r="D905" s="17"/>
      <c r="E905" s="17"/>
    </row>
    <row r="906">
      <c r="A906" s="17"/>
      <c r="B906" s="17"/>
      <c r="C906" s="17"/>
      <c r="D906" s="17"/>
      <c r="E906" s="17"/>
    </row>
    <row r="907">
      <c r="A907" s="17"/>
      <c r="B907" s="17"/>
      <c r="C907" s="17"/>
      <c r="D907" s="17"/>
      <c r="E907" s="17"/>
    </row>
    <row r="908">
      <c r="A908" s="17"/>
      <c r="B908" s="17"/>
      <c r="C908" s="17"/>
      <c r="D908" s="17"/>
      <c r="E908" s="17"/>
    </row>
    <row r="909">
      <c r="A909" s="17"/>
      <c r="B909" s="17"/>
      <c r="C909" s="17"/>
      <c r="D909" s="17"/>
      <c r="E909" s="17"/>
    </row>
    <row r="910">
      <c r="A910" s="17"/>
      <c r="B910" s="17"/>
      <c r="C910" s="17"/>
      <c r="D910" s="17"/>
      <c r="E910" s="17"/>
    </row>
    <row r="911">
      <c r="A911" s="17"/>
      <c r="B911" s="17"/>
      <c r="C911" s="17"/>
      <c r="D911" s="17"/>
      <c r="E911" s="17"/>
    </row>
    <row r="912">
      <c r="A912" s="17"/>
      <c r="B912" s="17"/>
      <c r="C912" s="17"/>
      <c r="D912" s="17"/>
      <c r="E912" s="17"/>
    </row>
    <row r="913">
      <c r="A913" s="17"/>
      <c r="B913" s="17"/>
      <c r="C913" s="17"/>
      <c r="D913" s="17"/>
      <c r="E913" s="17"/>
    </row>
    <row r="914">
      <c r="A914" s="17"/>
      <c r="B914" s="17"/>
      <c r="C914" s="17"/>
      <c r="D914" s="17"/>
      <c r="E914" s="17"/>
    </row>
    <row r="915">
      <c r="A915" s="17"/>
      <c r="B915" s="17"/>
      <c r="C915" s="17"/>
      <c r="D915" s="17"/>
      <c r="E915" s="17"/>
    </row>
    <row r="916">
      <c r="A916" s="17"/>
      <c r="B916" s="17"/>
      <c r="C916" s="17"/>
      <c r="D916" s="17"/>
      <c r="E916" s="17"/>
    </row>
    <row r="917">
      <c r="A917" s="17"/>
      <c r="B917" s="17"/>
      <c r="C917" s="17"/>
      <c r="D917" s="17"/>
      <c r="E917" s="17"/>
    </row>
    <row r="918">
      <c r="A918" s="17"/>
      <c r="B918" s="17"/>
      <c r="C918" s="17"/>
      <c r="D918" s="17"/>
      <c r="E918" s="17"/>
    </row>
    <row r="919">
      <c r="A919" s="17"/>
      <c r="B919" s="17"/>
      <c r="C919" s="17"/>
      <c r="D919" s="17"/>
      <c r="E919" s="17"/>
    </row>
    <row r="920">
      <c r="A920" s="17"/>
      <c r="B920" s="17"/>
      <c r="C920" s="17"/>
      <c r="D920" s="17"/>
      <c r="E920" s="17"/>
    </row>
    <row r="921">
      <c r="A921" s="17"/>
      <c r="B921" s="17"/>
      <c r="C921" s="17"/>
      <c r="D921" s="17"/>
      <c r="E921" s="17"/>
    </row>
    <row r="922">
      <c r="A922" s="17"/>
      <c r="B922" s="17"/>
      <c r="C922" s="17"/>
      <c r="D922" s="17"/>
      <c r="E922" s="17"/>
    </row>
    <row r="923">
      <c r="A923" s="17"/>
      <c r="B923" s="17"/>
      <c r="C923" s="17"/>
      <c r="D923" s="17"/>
      <c r="E923" s="17"/>
    </row>
    <row r="924">
      <c r="A924" s="17"/>
      <c r="B924" s="17"/>
      <c r="C924" s="17"/>
      <c r="D924" s="17"/>
      <c r="E924" s="17"/>
    </row>
    <row r="925">
      <c r="A925" s="17"/>
      <c r="B925" s="17"/>
      <c r="C925" s="17"/>
      <c r="D925" s="17"/>
      <c r="E925" s="17"/>
    </row>
    <row r="926">
      <c r="A926" s="17"/>
      <c r="B926" s="17"/>
      <c r="C926" s="17"/>
      <c r="D926" s="17"/>
      <c r="E926" s="17"/>
    </row>
    <row r="927">
      <c r="A927" s="17"/>
      <c r="B927" s="17"/>
      <c r="C927" s="17"/>
      <c r="D927" s="17"/>
      <c r="E927" s="17"/>
    </row>
    <row r="928">
      <c r="A928" s="17"/>
      <c r="B928" s="17"/>
      <c r="C928" s="17"/>
      <c r="D928" s="17"/>
      <c r="E928" s="17"/>
    </row>
    <row r="929">
      <c r="A929" s="17"/>
      <c r="B929" s="17"/>
      <c r="C929" s="17"/>
      <c r="D929" s="17"/>
      <c r="E929" s="17"/>
    </row>
    <row r="930">
      <c r="A930" s="17"/>
      <c r="B930" s="17"/>
      <c r="C930" s="17"/>
      <c r="D930" s="17"/>
      <c r="E930" s="17"/>
    </row>
    <row r="931">
      <c r="A931" s="17"/>
      <c r="B931" s="17"/>
      <c r="C931" s="17"/>
      <c r="D931" s="17"/>
      <c r="E931" s="17"/>
    </row>
    <row r="932">
      <c r="A932" s="17"/>
      <c r="B932" s="17"/>
      <c r="C932" s="17"/>
      <c r="D932" s="17"/>
      <c r="E932" s="17"/>
    </row>
    <row r="933">
      <c r="A933" s="17"/>
      <c r="B933" s="17"/>
      <c r="C933" s="17"/>
      <c r="D933" s="17"/>
      <c r="E933" s="17"/>
    </row>
    <row r="934">
      <c r="A934" s="17"/>
      <c r="B934" s="17"/>
      <c r="C934" s="17"/>
      <c r="D934" s="17"/>
      <c r="E934" s="17"/>
    </row>
    <row r="935">
      <c r="A935" s="17"/>
      <c r="B935" s="17"/>
      <c r="C935" s="17"/>
      <c r="D935" s="17"/>
      <c r="E935" s="17"/>
    </row>
    <row r="936">
      <c r="A936" s="17"/>
      <c r="B936" s="17"/>
      <c r="C936" s="17"/>
      <c r="D936" s="17"/>
      <c r="E936" s="17"/>
    </row>
    <row r="937">
      <c r="A937" s="17"/>
      <c r="B937" s="17"/>
      <c r="C937" s="17"/>
      <c r="D937" s="17"/>
      <c r="E937" s="17"/>
    </row>
    <row r="938">
      <c r="A938" s="17"/>
      <c r="B938" s="17"/>
      <c r="C938" s="17"/>
      <c r="D938" s="17"/>
      <c r="E938" s="17"/>
    </row>
    <row r="939">
      <c r="A939" s="17"/>
      <c r="B939" s="17"/>
      <c r="C939" s="17"/>
      <c r="D939" s="17"/>
      <c r="E939" s="17"/>
    </row>
    <row r="940">
      <c r="A940" s="17"/>
      <c r="B940" s="17"/>
      <c r="C940" s="17"/>
      <c r="D940" s="17"/>
      <c r="E940" s="17"/>
    </row>
    <row r="941">
      <c r="A941" s="17"/>
      <c r="B941" s="17"/>
      <c r="C941" s="17"/>
      <c r="D941" s="17"/>
      <c r="E941" s="17"/>
    </row>
    <row r="942">
      <c r="A942" s="17"/>
      <c r="B942" s="17"/>
      <c r="C942" s="17"/>
      <c r="D942" s="17"/>
      <c r="E942" s="17"/>
    </row>
    <row r="943">
      <c r="A943" s="17"/>
      <c r="B943" s="17"/>
      <c r="C943" s="17"/>
      <c r="D943" s="17"/>
      <c r="E943" s="17"/>
    </row>
    <row r="944">
      <c r="A944" s="17"/>
      <c r="B944" s="17"/>
      <c r="C944" s="17"/>
      <c r="D944" s="17"/>
      <c r="E944" s="17"/>
    </row>
    <row r="945">
      <c r="A945" s="17"/>
      <c r="B945" s="17"/>
      <c r="C945" s="17"/>
      <c r="D945" s="17"/>
      <c r="E945" s="17"/>
    </row>
    <row r="946">
      <c r="A946" s="17"/>
      <c r="B946" s="17"/>
      <c r="C946" s="17"/>
      <c r="D946" s="17"/>
      <c r="E946" s="17"/>
    </row>
    <row r="947">
      <c r="A947" s="17"/>
      <c r="B947" s="17"/>
      <c r="C947" s="17"/>
      <c r="D947" s="17"/>
      <c r="E947" s="17"/>
    </row>
    <row r="948">
      <c r="A948" s="17"/>
      <c r="B948" s="17"/>
      <c r="C948" s="17"/>
      <c r="D948" s="17"/>
      <c r="E948" s="17"/>
    </row>
    <row r="949">
      <c r="A949" s="17"/>
      <c r="B949" s="17"/>
      <c r="C949" s="17"/>
      <c r="D949" s="17"/>
      <c r="E949" s="17"/>
    </row>
    <row r="950">
      <c r="A950" s="17"/>
      <c r="B950" s="17"/>
      <c r="C950" s="17"/>
      <c r="D950" s="17"/>
      <c r="E950" s="17"/>
    </row>
    <row r="951">
      <c r="A951" s="17"/>
      <c r="B951" s="17"/>
      <c r="C951" s="17"/>
      <c r="D951" s="17"/>
      <c r="E951" s="17"/>
    </row>
    <row r="952">
      <c r="A952" s="17"/>
      <c r="B952" s="17"/>
      <c r="C952" s="17"/>
      <c r="D952" s="17"/>
      <c r="E952" s="17"/>
    </row>
    <row r="953">
      <c r="A953" s="17"/>
      <c r="B953" s="17"/>
      <c r="C953" s="17"/>
      <c r="D953" s="17"/>
      <c r="E953" s="17"/>
    </row>
    <row r="954">
      <c r="A954" s="17"/>
      <c r="B954" s="17"/>
      <c r="C954" s="17"/>
      <c r="D954" s="17"/>
      <c r="E954" s="17"/>
    </row>
    <row r="955">
      <c r="A955" s="17"/>
      <c r="B955" s="17"/>
      <c r="C955" s="17"/>
      <c r="D955" s="17"/>
      <c r="E955" s="17"/>
    </row>
    <row r="956">
      <c r="A956" s="17"/>
      <c r="B956" s="17"/>
      <c r="C956" s="17"/>
      <c r="D956" s="17"/>
      <c r="E956" s="17"/>
    </row>
    <row r="957">
      <c r="A957" s="17"/>
      <c r="B957" s="17"/>
      <c r="C957" s="17"/>
      <c r="D957" s="17"/>
      <c r="E957" s="17"/>
    </row>
    <row r="958">
      <c r="A958" s="17"/>
      <c r="B958" s="17"/>
      <c r="C958" s="17"/>
      <c r="D958" s="17"/>
      <c r="E958" s="17"/>
    </row>
    <row r="959">
      <c r="A959" s="17"/>
      <c r="B959" s="17"/>
      <c r="C959" s="17"/>
      <c r="D959" s="17"/>
      <c r="E959" s="17"/>
    </row>
    <row r="960">
      <c r="A960" s="17"/>
      <c r="B960" s="17"/>
      <c r="C960" s="17"/>
      <c r="D960" s="17"/>
      <c r="E960" s="17"/>
    </row>
    <row r="961">
      <c r="A961" s="17"/>
      <c r="B961" s="17"/>
      <c r="C961" s="17"/>
      <c r="D961" s="17"/>
      <c r="E961" s="17"/>
    </row>
    <row r="962">
      <c r="A962" s="17"/>
      <c r="B962" s="17"/>
      <c r="C962" s="17"/>
      <c r="D962" s="17"/>
      <c r="E962" s="17"/>
    </row>
    <row r="963">
      <c r="A963" s="17"/>
      <c r="B963" s="17"/>
      <c r="C963" s="17"/>
      <c r="D963" s="17"/>
      <c r="E963" s="17"/>
    </row>
    <row r="964">
      <c r="A964" s="17"/>
      <c r="B964" s="17"/>
      <c r="C964" s="17"/>
      <c r="D964" s="17"/>
      <c r="E964" s="17"/>
    </row>
    <row r="965">
      <c r="A965" s="17"/>
      <c r="B965" s="17"/>
      <c r="C965" s="17"/>
      <c r="D965" s="17"/>
      <c r="E965" s="17"/>
    </row>
    <row r="966">
      <c r="A966" s="17"/>
      <c r="B966" s="17"/>
      <c r="C966" s="17"/>
      <c r="D966" s="17"/>
      <c r="E966" s="17"/>
    </row>
    <row r="967">
      <c r="A967" s="17"/>
      <c r="B967" s="17"/>
      <c r="C967" s="17"/>
      <c r="D967" s="17"/>
      <c r="E967" s="17"/>
    </row>
    <row r="968">
      <c r="A968" s="17"/>
      <c r="B968" s="17"/>
      <c r="C968" s="17"/>
      <c r="D968" s="17"/>
      <c r="E968" s="17"/>
    </row>
    <row r="969">
      <c r="A969" s="17"/>
      <c r="B969" s="17"/>
      <c r="C969" s="17"/>
      <c r="D969" s="17"/>
      <c r="E969" s="17"/>
    </row>
    <row r="970">
      <c r="A970" s="17"/>
      <c r="B970" s="17"/>
      <c r="C970" s="17"/>
      <c r="D970" s="17"/>
      <c r="E970" s="17"/>
    </row>
    <row r="971">
      <c r="A971" s="17"/>
      <c r="B971" s="17"/>
      <c r="C971" s="17"/>
      <c r="D971" s="17"/>
      <c r="E971" s="17"/>
    </row>
    <row r="972">
      <c r="A972" s="17"/>
      <c r="B972" s="17"/>
      <c r="C972" s="17"/>
      <c r="D972" s="17"/>
      <c r="E972" s="17"/>
    </row>
    <row r="973">
      <c r="A973" s="17"/>
      <c r="B973" s="17"/>
      <c r="C973" s="17"/>
      <c r="D973" s="17"/>
      <c r="E973" s="17"/>
    </row>
    <row r="974">
      <c r="A974" s="17"/>
      <c r="B974" s="17"/>
      <c r="C974" s="17"/>
      <c r="D974" s="17"/>
      <c r="E974" s="17"/>
    </row>
    <row r="975">
      <c r="A975" s="17"/>
      <c r="B975" s="17"/>
      <c r="C975" s="17"/>
      <c r="D975" s="17"/>
      <c r="E975" s="17"/>
    </row>
    <row r="976">
      <c r="A976" s="17"/>
      <c r="B976" s="17"/>
      <c r="C976" s="17"/>
      <c r="D976" s="17"/>
      <c r="E976" s="17"/>
    </row>
    <row r="977">
      <c r="A977" s="17"/>
      <c r="B977" s="17"/>
      <c r="C977" s="17"/>
      <c r="D977" s="17"/>
      <c r="E977" s="17"/>
    </row>
    <row r="978">
      <c r="A978" s="17"/>
      <c r="B978" s="17"/>
      <c r="C978" s="17"/>
      <c r="D978" s="17"/>
      <c r="E978" s="17"/>
    </row>
    <row r="979">
      <c r="A979" s="17"/>
      <c r="B979" s="17"/>
      <c r="C979" s="17"/>
      <c r="D979" s="17"/>
      <c r="E979" s="17"/>
    </row>
    <row r="980">
      <c r="A980" s="17"/>
      <c r="B980" s="17"/>
      <c r="C980" s="17"/>
      <c r="D980" s="17"/>
      <c r="E980" s="17"/>
    </row>
    <row r="981">
      <c r="A981" s="17"/>
      <c r="B981" s="17"/>
      <c r="C981" s="17"/>
      <c r="D981" s="17"/>
      <c r="E981" s="17"/>
    </row>
    <row r="982">
      <c r="A982" s="17"/>
      <c r="B982" s="17"/>
      <c r="C982" s="17"/>
      <c r="D982" s="17"/>
      <c r="E982" s="17"/>
    </row>
    <row r="983">
      <c r="A983" s="17"/>
      <c r="B983" s="17"/>
      <c r="C983" s="17"/>
      <c r="D983" s="17"/>
      <c r="E983" s="17"/>
    </row>
    <row r="984">
      <c r="A984" s="17"/>
      <c r="B984" s="17"/>
      <c r="C984" s="17"/>
      <c r="D984" s="17"/>
      <c r="E984" s="17"/>
    </row>
    <row r="985">
      <c r="A985" s="17"/>
      <c r="B985" s="17"/>
      <c r="C985" s="17"/>
      <c r="D985" s="17"/>
      <c r="E985" s="17"/>
    </row>
    <row r="986">
      <c r="A986" s="17"/>
      <c r="B986" s="17"/>
      <c r="C986" s="17"/>
      <c r="D986" s="17"/>
      <c r="E986" s="17"/>
    </row>
    <row r="987">
      <c r="A987" s="17"/>
      <c r="B987" s="17"/>
      <c r="C987" s="17"/>
      <c r="D987" s="17"/>
      <c r="E987" s="17"/>
    </row>
    <row r="988">
      <c r="A988" s="17"/>
      <c r="B988" s="17"/>
      <c r="C988" s="17"/>
      <c r="D988" s="17"/>
      <c r="E988" s="17"/>
    </row>
    <row r="989">
      <c r="A989" s="17"/>
      <c r="B989" s="17"/>
      <c r="C989" s="17"/>
      <c r="D989" s="17"/>
      <c r="E989" s="17"/>
    </row>
    <row r="990">
      <c r="A990" s="17"/>
      <c r="B990" s="17"/>
      <c r="C990" s="17"/>
      <c r="D990" s="17"/>
      <c r="E990" s="17"/>
    </row>
    <row r="991">
      <c r="A991" s="17"/>
      <c r="B991" s="17"/>
      <c r="C991" s="17"/>
      <c r="D991" s="17"/>
      <c r="E991" s="17"/>
    </row>
    <row r="992">
      <c r="A992" s="17"/>
      <c r="B992" s="17"/>
      <c r="C992" s="17"/>
      <c r="D992" s="17"/>
      <c r="E992" s="17"/>
    </row>
    <row r="993">
      <c r="A993" s="17"/>
      <c r="B993" s="17"/>
      <c r="C993" s="17"/>
      <c r="D993" s="17"/>
      <c r="E993" s="17"/>
    </row>
    <row r="994">
      <c r="A994" s="17"/>
      <c r="B994" s="17"/>
      <c r="C994" s="17"/>
      <c r="D994" s="17"/>
      <c r="E994" s="17"/>
    </row>
    <row r="995">
      <c r="A995" s="17"/>
      <c r="B995" s="17"/>
      <c r="C995" s="17"/>
      <c r="D995" s="17"/>
      <c r="E995" s="17"/>
    </row>
    <row r="996">
      <c r="A996" s="17"/>
      <c r="B996" s="17"/>
      <c r="C996" s="17"/>
      <c r="D996" s="17"/>
      <c r="E996" s="17"/>
    </row>
    <row r="997">
      <c r="A997" s="17"/>
      <c r="B997" s="17"/>
      <c r="C997" s="17"/>
      <c r="D997" s="17"/>
      <c r="E997" s="17"/>
    </row>
    <row r="998">
      <c r="A998" s="17"/>
      <c r="B998" s="17"/>
      <c r="C998" s="17"/>
      <c r="D998" s="17"/>
      <c r="E998" s="17"/>
    </row>
    <row r="999">
      <c r="A999" s="17"/>
      <c r="B999" s="17"/>
      <c r="C999" s="17"/>
      <c r="D999" s="17"/>
      <c r="E999" s="17"/>
    </row>
    <row r="1000">
      <c r="A1000" s="17"/>
      <c r="B1000" s="17"/>
      <c r="C1000" s="17"/>
      <c r="D1000" s="17"/>
      <c r="E1000" s="17"/>
    </row>
    <row r="1001">
      <c r="A1001" s="17"/>
      <c r="B1001" s="17"/>
      <c r="C1001" s="17"/>
      <c r="D1001" s="17"/>
      <c r="E1001" s="17"/>
    </row>
  </sheetData>
  <mergeCells count="21">
    <mergeCell ref="A1:E1"/>
    <mergeCell ref="A2:E2"/>
    <mergeCell ref="A3:E8"/>
    <mergeCell ref="A9:E9"/>
    <mergeCell ref="A10:E13"/>
    <mergeCell ref="A14:E17"/>
    <mergeCell ref="A18:E21"/>
    <mergeCell ref="A46:E46"/>
    <mergeCell ref="A47:E51"/>
    <mergeCell ref="A52:E56"/>
    <mergeCell ref="A57:E57"/>
    <mergeCell ref="A58:E63"/>
    <mergeCell ref="A64:E69"/>
    <mergeCell ref="A70:E76"/>
    <mergeCell ref="A22:E25"/>
    <mergeCell ref="A26:E29"/>
    <mergeCell ref="A30:E33"/>
    <mergeCell ref="A34:E34"/>
    <mergeCell ref="A35:E35"/>
    <mergeCell ref="A36:E40"/>
    <mergeCell ref="A41:E4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28.0"/>
    <col customWidth="1" min="3" max="3" width="25.63"/>
    <col customWidth="1" min="4" max="4" width="42.25"/>
    <col customWidth="1" min="5" max="5" width="5.75"/>
    <col customWidth="1" min="6" max="7" width="16.5"/>
    <col customWidth="1" min="8" max="8" width="12.0"/>
    <col customWidth="1" min="9" max="9" width="16.75"/>
  </cols>
  <sheetData>
    <row r="1">
      <c r="A1" s="18" t="s">
        <v>21</v>
      </c>
      <c r="B1" s="19" t="s">
        <v>22</v>
      </c>
      <c r="C1" s="19" t="s">
        <v>23</v>
      </c>
      <c r="D1" s="19" t="s">
        <v>24</v>
      </c>
      <c r="E1" s="19" t="s">
        <v>25</v>
      </c>
      <c r="F1" s="19" t="s">
        <v>26</v>
      </c>
      <c r="G1" s="19" t="s">
        <v>27</v>
      </c>
      <c r="H1" s="19" t="s">
        <v>28</v>
      </c>
      <c r="I1" s="20" t="s">
        <v>29</v>
      </c>
      <c r="J1" s="21"/>
      <c r="K1" s="21"/>
      <c r="L1" s="21"/>
    </row>
    <row r="2">
      <c r="A2" s="22">
        <v>1614.0</v>
      </c>
      <c r="B2" s="23" t="s">
        <v>30</v>
      </c>
      <c r="C2" s="23" t="s">
        <v>31</v>
      </c>
      <c r="D2" s="23" t="s">
        <v>32</v>
      </c>
      <c r="E2" s="24" t="s">
        <v>33</v>
      </c>
      <c r="F2" s="23" t="s">
        <v>34</v>
      </c>
      <c r="G2" s="23" t="s">
        <v>35</v>
      </c>
      <c r="H2" s="24" t="s">
        <v>36</v>
      </c>
      <c r="I2" s="25">
        <v>8.0</v>
      </c>
      <c r="J2" s="21"/>
      <c r="K2" s="21"/>
      <c r="L2" s="21"/>
    </row>
    <row r="3">
      <c r="A3" s="22">
        <v>1623.0</v>
      </c>
      <c r="B3" s="23" t="s">
        <v>37</v>
      </c>
      <c r="C3" s="23" t="s">
        <v>38</v>
      </c>
      <c r="D3" s="23" t="s">
        <v>39</v>
      </c>
      <c r="E3" s="24" t="s">
        <v>33</v>
      </c>
      <c r="F3" s="23" t="s">
        <v>40</v>
      </c>
      <c r="G3" s="23" t="s">
        <v>41</v>
      </c>
      <c r="H3" s="24" t="s">
        <v>36</v>
      </c>
      <c r="I3" s="25">
        <v>7.0</v>
      </c>
      <c r="J3" s="21"/>
      <c r="K3" s="21"/>
      <c r="L3" s="21"/>
    </row>
    <row r="4">
      <c r="A4" s="22">
        <v>1642.0</v>
      </c>
      <c r="B4" s="23" t="s">
        <v>42</v>
      </c>
      <c r="C4" s="23" t="s">
        <v>43</v>
      </c>
      <c r="D4" s="23" t="s">
        <v>44</v>
      </c>
      <c r="E4" s="24" t="s">
        <v>33</v>
      </c>
      <c r="F4" s="23" t="s">
        <v>40</v>
      </c>
      <c r="G4" s="23" t="s">
        <v>45</v>
      </c>
      <c r="H4" s="24" t="s">
        <v>36</v>
      </c>
      <c r="I4" s="25">
        <v>8.0</v>
      </c>
      <c r="J4" s="21"/>
      <c r="K4" s="21"/>
      <c r="L4" s="21"/>
    </row>
    <row r="5">
      <c r="A5" s="22">
        <v>1673.0</v>
      </c>
      <c r="B5" s="23" t="s">
        <v>46</v>
      </c>
      <c r="C5" s="23" t="s">
        <v>47</v>
      </c>
      <c r="D5" s="23" t="s">
        <v>48</v>
      </c>
      <c r="E5" s="24" t="s">
        <v>33</v>
      </c>
      <c r="F5" s="23" t="s">
        <v>40</v>
      </c>
      <c r="G5" s="23" t="s">
        <v>41</v>
      </c>
      <c r="H5" s="24" t="s">
        <v>36</v>
      </c>
      <c r="I5" s="25">
        <v>8.0</v>
      </c>
      <c r="J5" s="21"/>
      <c r="K5" s="21"/>
      <c r="L5" s="21"/>
    </row>
    <row r="6">
      <c r="A6" s="22">
        <v>1801.0</v>
      </c>
      <c r="B6" s="23" t="s">
        <v>49</v>
      </c>
      <c r="C6" s="23" t="s">
        <v>50</v>
      </c>
      <c r="D6" s="23" t="s">
        <v>51</v>
      </c>
      <c r="E6" s="24" t="s">
        <v>52</v>
      </c>
      <c r="F6" s="23" t="s">
        <v>40</v>
      </c>
      <c r="G6" s="23" t="s">
        <v>45</v>
      </c>
      <c r="H6" s="24" t="s">
        <v>36</v>
      </c>
      <c r="I6" s="25">
        <v>9.0</v>
      </c>
      <c r="J6" s="21"/>
      <c r="K6" s="21"/>
      <c r="L6" s="21"/>
    </row>
    <row r="7">
      <c r="A7" s="22">
        <v>1820.0</v>
      </c>
      <c r="B7" s="23" t="s">
        <v>53</v>
      </c>
      <c r="C7" s="23" t="s">
        <v>54</v>
      </c>
      <c r="D7" s="23" t="s">
        <v>55</v>
      </c>
      <c r="E7" s="24" t="s">
        <v>52</v>
      </c>
      <c r="F7" s="23" t="s">
        <v>40</v>
      </c>
      <c r="G7" s="23" t="s">
        <v>45</v>
      </c>
      <c r="H7" s="24" t="s">
        <v>36</v>
      </c>
      <c r="I7" s="25">
        <v>7.0</v>
      </c>
      <c r="J7" s="21"/>
      <c r="K7" s="21"/>
      <c r="L7" s="21"/>
    </row>
    <row r="8">
      <c r="A8" s="22">
        <v>1822.0</v>
      </c>
      <c r="B8" s="23" t="s">
        <v>56</v>
      </c>
      <c r="C8" s="23" t="s">
        <v>57</v>
      </c>
      <c r="D8" s="23" t="s">
        <v>58</v>
      </c>
      <c r="E8" s="24" t="s">
        <v>52</v>
      </c>
      <c r="F8" s="23" t="s">
        <v>40</v>
      </c>
      <c r="G8" s="23" t="s">
        <v>59</v>
      </c>
      <c r="H8" s="24" t="s">
        <v>36</v>
      </c>
      <c r="I8" s="25">
        <v>8.0</v>
      </c>
      <c r="J8" s="21"/>
      <c r="K8" s="21"/>
      <c r="L8" s="21"/>
    </row>
    <row r="9">
      <c r="A9" s="22">
        <v>1837.0</v>
      </c>
      <c r="B9" s="23" t="s">
        <v>60</v>
      </c>
      <c r="C9" s="23" t="s">
        <v>57</v>
      </c>
      <c r="D9" s="23" t="s">
        <v>61</v>
      </c>
      <c r="E9" s="24" t="s">
        <v>52</v>
      </c>
      <c r="F9" s="23" t="s">
        <v>34</v>
      </c>
      <c r="G9" s="23" t="s">
        <v>59</v>
      </c>
      <c r="H9" s="24" t="s">
        <v>36</v>
      </c>
      <c r="I9" s="25">
        <v>10.0</v>
      </c>
      <c r="J9" s="21"/>
      <c r="K9" s="21"/>
      <c r="L9" s="21"/>
    </row>
    <row r="10">
      <c r="A10" s="22">
        <v>1843.0</v>
      </c>
      <c r="B10" s="23" t="s">
        <v>62</v>
      </c>
      <c r="C10" s="23" t="s">
        <v>63</v>
      </c>
      <c r="D10" s="23" t="s">
        <v>64</v>
      </c>
      <c r="E10" s="24" t="s">
        <v>52</v>
      </c>
      <c r="F10" s="23" t="s">
        <v>34</v>
      </c>
      <c r="G10" s="23" t="s">
        <v>59</v>
      </c>
      <c r="H10" s="24" t="s">
        <v>36</v>
      </c>
      <c r="I10" s="25">
        <v>10.0</v>
      </c>
      <c r="J10" s="21"/>
      <c r="K10" s="21"/>
      <c r="L10" s="21"/>
    </row>
    <row r="11">
      <c r="A11" s="22">
        <v>1844.0</v>
      </c>
      <c r="B11" s="23" t="s">
        <v>65</v>
      </c>
      <c r="C11" s="23" t="s">
        <v>66</v>
      </c>
      <c r="D11" s="23" t="s">
        <v>67</v>
      </c>
      <c r="E11" s="24" t="s">
        <v>52</v>
      </c>
      <c r="F11" s="23" t="s">
        <v>68</v>
      </c>
      <c r="G11" s="23" t="s">
        <v>69</v>
      </c>
      <c r="H11" s="24" t="s">
        <v>36</v>
      </c>
      <c r="I11" s="25">
        <v>9.0</v>
      </c>
      <c r="J11" s="21"/>
      <c r="K11" s="21"/>
      <c r="L11" s="21"/>
    </row>
    <row r="12">
      <c r="A12" s="22">
        <v>1854.0</v>
      </c>
      <c r="B12" s="23" t="s">
        <v>70</v>
      </c>
      <c r="C12" s="23" t="s">
        <v>71</v>
      </c>
      <c r="D12" s="23" t="s">
        <v>72</v>
      </c>
      <c r="E12" s="24" t="s">
        <v>52</v>
      </c>
      <c r="F12" s="23" t="s">
        <v>34</v>
      </c>
      <c r="G12" s="23" t="s">
        <v>59</v>
      </c>
      <c r="H12" s="24" t="s">
        <v>36</v>
      </c>
      <c r="I12" s="25">
        <v>10.0</v>
      </c>
      <c r="J12" s="21"/>
      <c r="K12" s="21"/>
      <c r="L12" s="21"/>
    </row>
    <row r="13">
      <c r="A13" s="22">
        <v>1876.0</v>
      </c>
      <c r="B13" s="23" t="s">
        <v>73</v>
      </c>
      <c r="C13" s="23" t="s">
        <v>74</v>
      </c>
      <c r="D13" s="23" t="s">
        <v>75</v>
      </c>
      <c r="E13" s="24" t="s">
        <v>52</v>
      </c>
      <c r="F13" s="23" t="s">
        <v>68</v>
      </c>
      <c r="G13" s="23" t="s">
        <v>69</v>
      </c>
      <c r="H13" s="24" t="s">
        <v>36</v>
      </c>
      <c r="I13" s="25">
        <v>9.0</v>
      </c>
      <c r="J13" s="21"/>
      <c r="K13" s="21"/>
      <c r="L13" s="21"/>
    </row>
    <row r="14">
      <c r="A14" s="22">
        <v>1890.0</v>
      </c>
      <c r="B14" s="23" t="s">
        <v>76</v>
      </c>
      <c r="C14" s="23" t="s">
        <v>77</v>
      </c>
      <c r="D14" s="23" t="s">
        <v>78</v>
      </c>
      <c r="E14" s="24" t="s">
        <v>52</v>
      </c>
      <c r="F14" s="23" t="s">
        <v>79</v>
      </c>
      <c r="G14" s="23" t="s">
        <v>69</v>
      </c>
      <c r="H14" s="24" t="s">
        <v>36</v>
      </c>
      <c r="I14" s="25">
        <v>9.0</v>
      </c>
      <c r="J14" s="21"/>
      <c r="K14" s="21"/>
      <c r="L14" s="21"/>
    </row>
    <row r="15">
      <c r="A15" s="22">
        <v>1896.0</v>
      </c>
      <c r="B15" s="23" t="s">
        <v>80</v>
      </c>
      <c r="C15" s="23" t="s">
        <v>77</v>
      </c>
      <c r="D15" s="23" t="s">
        <v>81</v>
      </c>
      <c r="E15" s="24" t="s">
        <v>52</v>
      </c>
      <c r="F15" s="23" t="s">
        <v>82</v>
      </c>
      <c r="G15" s="23" t="s">
        <v>69</v>
      </c>
      <c r="H15" s="24" t="s">
        <v>36</v>
      </c>
      <c r="I15" s="25">
        <v>8.0</v>
      </c>
      <c r="J15" s="21"/>
      <c r="K15" s="21"/>
      <c r="L15" s="21"/>
    </row>
    <row r="16">
      <c r="A16" s="22">
        <v>1904.0</v>
      </c>
      <c r="B16" s="23" t="s">
        <v>83</v>
      </c>
      <c r="C16" s="23" t="s">
        <v>84</v>
      </c>
      <c r="D16" s="23" t="s">
        <v>85</v>
      </c>
      <c r="E16" s="24" t="s">
        <v>86</v>
      </c>
      <c r="F16" s="23" t="s">
        <v>87</v>
      </c>
      <c r="G16" s="23" t="s">
        <v>59</v>
      </c>
      <c r="H16" s="24" t="s">
        <v>88</v>
      </c>
      <c r="I16" s="25">
        <v>9.0</v>
      </c>
      <c r="J16" s="21"/>
      <c r="K16" s="21"/>
      <c r="L16" s="21"/>
    </row>
    <row r="17">
      <c r="A17" s="22">
        <v>1936.0</v>
      </c>
      <c r="B17" s="23" t="s">
        <v>89</v>
      </c>
      <c r="C17" s="23" t="s">
        <v>90</v>
      </c>
      <c r="D17" s="23" t="s">
        <v>91</v>
      </c>
      <c r="E17" s="24" t="s">
        <v>86</v>
      </c>
      <c r="F17" s="23" t="s">
        <v>34</v>
      </c>
      <c r="G17" s="23" t="s">
        <v>59</v>
      </c>
      <c r="H17" s="24" t="s">
        <v>36</v>
      </c>
      <c r="I17" s="25">
        <v>10.0</v>
      </c>
      <c r="J17" s="21"/>
      <c r="K17" s="21"/>
      <c r="L17" s="21"/>
    </row>
    <row r="18">
      <c r="A18" s="22">
        <v>1937.0</v>
      </c>
      <c r="B18" s="23" t="s">
        <v>92</v>
      </c>
      <c r="C18" s="23" t="s">
        <v>93</v>
      </c>
      <c r="D18" s="23" t="s">
        <v>94</v>
      </c>
      <c r="E18" s="24" t="s">
        <v>86</v>
      </c>
      <c r="F18" s="23" t="s">
        <v>34</v>
      </c>
      <c r="G18" s="23" t="s">
        <v>69</v>
      </c>
      <c r="H18" s="24" t="s">
        <v>36</v>
      </c>
      <c r="I18" s="25">
        <v>10.0</v>
      </c>
      <c r="J18" s="21"/>
      <c r="K18" s="21"/>
      <c r="L18" s="21"/>
    </row>
    <row r="19">
      <c r="A19" s="22">
        <v>1938.0</v>
      </c>
      <c r="B19" s="23" t="s">
        <v>95</v>
      </c>
      <c r="C19" s="23" t="s">
        <v>96</v>
      </c>
      <c r="D19" s="23" t="s">
        <v>97</v>
      </c>
      <c r="E19" s="24" t="s">
        <v>86</v>
      </c>
      <c r="F19" s="23" t="s">
        <v>79</v>
      </c>
      <c r="G19" s="23" t="s">
        <v>41</v>
      </c>
      <c r="H19" s="24" t="s">
        <v>36</v>
      </c>
      <c r="I19" s="25">
        <v>8.0</v>
      </c>
      <c r="J19" s="21"/>
      <c r="K19" s="21"/>
      <c r="L19" s="21"/>
    </row>
    <row r="20">
      <c r="A20" s="22">
        <v>1941.0</v>
      </c>
      <c r="B20" s="23" t="s">
        <v>98</v>
      </c>
      <c r="C20" s="23" t="s">
        <v>96</v>
      </c>
      <c r="D20" s="23" t="s">
        <v>99</v>
      </c>
      <c r="E20" s="24" t="s">
        <v>86</v>
      </c>
      <c r="F20" s="23" t="s">
        <v>79</v>
      </c>
      <c r="G20" s="23" t="s">
        <v>41</v>
      </c>
      <c r="H20" s="24" t="s">
        <v>88</v>
      </c>
      <c r="I20" s="25">
        <v>8.0</v>
      </c>
      <c r="J20" s="21"/>
      <c r="K20" s="21"/>
      <c r="L20" s="21"/>
    </row>
    <row r="21">
      <c r="A21" s="22">
        <v>1942.0</v>
      </c>
      <c r="B21" s="23" t="s">
        <v>100</v>
      </c>
      <c r="C21" s="23" t="s">
        <v>101</v>
      </c>
      <c r="D21" s="23" t="s">
        <v>102</v>
      </c>
      <c r="E21" s="24" t="s">
        <v>86</v>
      </c>
      <c r="F21" s="23" t="s">
        <v>87</v>
      </c>
      <c r="G21" s="23" t="s">
        <v>69</v>
      </c>
      <c r="H21" s="24" t="s">
        <v>88</v>
      </c>
      <c r="I21" s="25">
        <v>7.0</v>
      </c>
      <c r="J21" s="21"/>
      <c r="K21" s="21"/>
      <c r="L21" s="21"/>
    </row>
    <row r="22">
      <c r="A22" s="22">
        <v>1943.0</v>
      </c>
      <c r="B22" s="23" t="s">
        <v>103</v>
      </c>
      <c r="C22" s="23" t="s">
        <v>104</v>
      </c>
      <c r="D22" s="23" t="s">
        <v>105</v>
      </c>
      <c r="E22" s="24" t="s">
        <v>86</v>
      </c>
      <c r="F22" s="23" t="s">
        <v>87</v>
      </c>
      <c r="G22" s="23" t="s">
        <v>59</v>
      </c>
      <c r="H22" s="24" t="s">
        <v>88</v>
      </c>
      <c r="I22" s="25">
        <v>9.0</v>
      </c>
      <c r="J22" s="21"/>
      <c r="K22" s="21"/>
      <c r="L22" s="21"/>
    </row>
    <row r="23">
      <c r="A23" s="22">
        <v>1943.0</v>
      </c>
      <c r="B23" s="23" t="s">
        <v>106</v>
      </c>
      <c r="C23" s="23" t="s">
        <v>107</v>
      </c>
      <c r="D23" s="23" t="s">
        <v>108</v>
      </c>
      <c r="E23" s="24" t="s">
        <v>86</v>
      </c>
      <c r="F23" s="23" t="s">
        <v>87</v>
      </c>
      <c r="G23" s="23" t="s">
        <v>69</v>
      </c>
      <c r="H23" s="24" t="s">
        <v>88</v>
      </c>
      <c r="I23" s="25">
        <v>9.0</v>
      </c>
      <c r="J23" s="21"/>
      <c r="K23" s="21"/>
      <c r="L23" s="21"/>
    </row>
    <row r="24">
      <c r="A24" s="22">
        <v>1944.0</v>
      </c>
      <c r="B24" s="23" t="s">
        <v>109</v>
      </c>
      <c r="C24" s="23" t="s">
        <v>110</v>
      </c>
      <c r="D24" s="23" t="s">
        <v>111</v>
      </c>
      <c r="E24" s="24" t="s">
        <v>86</v>
      </c>
      <c r="F24" s="23" t="s">
        <v>79</v>
      </c>
      <c r="G24" s="23" t="s">
        <v>69</v>
      </c>
      <c r="H24" s="24" t="s">
        <v>88</v>
      </c>
      <c r="I24" s="25">
        <v>7.0</v>
      </c>
      <c r="J24" s="21"/>
      <c r="K24" s="21"/>
      <c r="L24" s="21"/>
    </row>
    <row r="25">
      <c r="A25" s="22">
        <v>1945.0</v>
      </c>
      <c r="B25" s="23" t="s">
        <v>112</v>
      </c>
      <c r="C25" s="23" t="s">
        <v>113</v>
      </c>
      <c r="D25" s="23" t="s">
        <v>114</v>
      </c>
      <c r="E25" s="24" t="s">
        <v>86</v>
      </c>
      <c r="F25" s="23" t="s">
        <v>34</v>
      </c>
      <c r="G25" s="23" t="s">
        <v>69</v>
      </c>
      <c r="H25" s="24" t="s">
        <v>88</v>
      </c>
      <c r="I25" s="25">
        <v>10.0</v>
      </c>
      <c r="J25" s="21"/>
      <c r="K25" s="21"/>
      <c r="L25" s="21"/>
    </row>
    <row r="26">
      <c r="A26" s="22">
        <v>1945.0</v>
      </c>
      <c r="B26" s="23" t="s">
        <v>115</v>
      </c>
      <c r="C26" s="23" t="s">
        <v>116</v>
      </c>
      <c r="D26" s="23" t="s">
        <v>117</v>
      </c>
      <c r="E26" s="24" t="s">
        <v>86</v>
      </c>
      <c r="F26" s="23" t="s">
        <v>34</v>
      </c>
      <c r="G26" s="23" t="s">
        <v>69</v>
      </c>
      <c r="H26" s="24" t="s">
        <v>36</v>
      </c>
      <c r="I26" s="25">
        <v>8.0</v>
      </c>
      <c r="J26" s="21"/>
      <c r="K26" s="21"/>
      <c r="L26" s="21"/>
    </row>
    <row r="27">
      <c r="A27" s="22">
        <v>1947.0</v>
      </c>
      <c r="B27" s="23" t="s">
        <v>118</v>
      </c>
      <c r="C27" s="23" t="s">
        <v>119</v>
      </c>
      <c r="D27" s="23" t="s">
        <v>120</v>
      </c>
      <c r="E27" s="24" t="s">
        <v>86</v>
      </c>
      <c r="F27" s="23" t="s">
        <v>87</v>
      </c>
      <c r="G27" s="23" t="s">
        <v>69</v>
      </c>
      <c r="H27" s="24" t="s">
        <v>121</v>
      </c>
      <c r="I27" s="25">
        <v>10.0</v>
      </c>
      <c r="J27" s="21"/>
      <c r="K27" s="21"/>
      <c r="L27" s="21"/>
    </row>
    <row r="28">
      <c r="A28" s="22">
        <v>1948.0</v>
      </c>
      <c r="B28" s="23" t="s">
        <v>122</v>
      </c>
      <c r="C28" s="23" t="s">
        <v>93</v>
      </c>
      <c r="D28" s="23" t="s">
        <v>123</v>
      </c>
      <c r="E28" s="24" t="s">
        <v>86</v>
      </c>
      <c r="F28" s="23" t="s">
        <v>34</v>
      </c>
      <c r="G28" s="23" t="s">
        <v>69</v>
      </c>
      <c r="H28" s="24" t="s">
        <v>121</v>
      </c>
      <c r="I28" s="25">
        <v>10.0</v>
      </c>
      <c r="J28" s="21"/>
      <c r="K28" s="21"/>
      <c r="L28" s="21"/>
    </row>
    <row r="29">
      <c r="A29" s="22">
        <v>1948.0</v>
      </c>
      <c r="B29" s="23" t="s">
        <v>124</v>
      </c>
      <c r="C29" s="23" t="s">
        <v>125</v>
      </c>
      <c r="D29" s="23" t="s">
        <v>126</v>
      </c>
      <c r="E29" s="24" t="s">
        <v>86</v>
      </c>
      <c r="F29" s="23" t="s">
        <v>87</v>
      </c>
      <c r="G29" s="23" t="s">
        <v>59</v>
      </c>
      <c r="H29" s="24" t="s">
        <v>88</v>
      </c>
      <c r="I29" s="25">
        <v>8.0</v>
      </c>
      <c r="J29" s="21"/>
      <c r="K29" s="21"/>
      <c r="L29" s="21"/>
    </row>
    <row r="30">
      <c r="A30" s="22">
        <v>1949.0</v>
      </c>
      <c r="B30" s="23" t="s">
        <v>127</v>
      </c>
      <c r="C30" s="23" t="s">
        <v>128</v>
      </c>
      <c r="D30" s="23" t="s">
        <v>129</v>
      </c>
      <c r="E30" s="24" t="s">
        <v>86</v>
      </c>
      <c r="F30" s="23" t="s">
        <v>87</v>
      </c>
      <c r="G30" s="23" t="s">
        <v>59</v>
      </c>
      <c r="H30" s="24" t="s">
        <v>88</v>
      </c>
      <c r="I30" s="25">
        <v>8.0</v>
      </c>
      <c r="J30" s="21"/>
      <c r="K30" s="21"/>
      <c r="L30" s="21"/>
    </row>
    <row r="31">
      <c r="A31" s="22">
        <v>1950.0</v>
      </c>
      <c r="B31" s="23" t="s">
        <v>130</v>
      </c>
      <c r="C31" s="23" t="s">
        <v>90</v>
      </c>
      <c r="D31" s="23" t="s">
        <v>131</v>
      </c>
      <c r="E31" s="24" t="s">
        <v>86</v>
      </c>
      <c r="F31" s="23" t="s">
        <v>132</v>
      </c>
      <c r="G31" s="23" t="s">
        <v>59</v>
      </c>
      <c r="H31" s="24" t="s">
        <v>34</v>
      </c>
      <c r="I31" s="25">
        <v>9.0</v>
      </c>
      <c r="J31" s="21"/>
      <c r="K31" s="21"/>
      <c r="L31" s="21"/>
    </row>
    <row r="32">
      <c r="A32" s="22">
        <v>1951.0</v>
      </c>
      <c r="B32" s="23" t="s">
        <v>133</v>
      </c>
      <c r="C32" s="23" t="s">
        <v>107</v>
      </c>
      <c r="D32" s="23" t="s">
        <v>134</v>
      </c>
      <c r="E32" s="24" t="s">
        <v>86</v>
      </c>
      <c r="F32" s="23" t="s">
        <v>87</v>
      </c>
      <c r="G32" s="23" t="s">
        <v>69</v>
      </c>
      <c r="H32" s="24" t="s">
        <v>88</v>
      </c>
      <c r="I32" s="25">
        <v>8.0</v>
      </c>
      <c r="J32" s="21"/>
      <c r="K32" s="21"/>
      <c r="L32" s="21"/>
    </row>
    <row r="33">
      <c r="A33" s="22">
        <v>1951.0</v>
      </c>
      <c r="B33" s="23" t="s">
        <v>135</v>
      </c>
      <c r="C33" s="23" t="s">
        <v>136</v>
      </c>
      <c r="D33" s="23" t="s">
        <v>137</v>
      </c>
      <c r="E33" s="24" t="s">
        <v>86</v>
      </c>
      <c r="F33" s="23" t="s">
        <v>87</v>
      </c>
      <c r="G33" s="23" t="s">
        <v>59</v>
      </c>
      <c r="H33" s="24" t="s">
        <v>88</v>
      </c>
      <c r="I33" s="25">
        <v>7.0</v>
      </c>
      <c r="J33" s="21"/>
      <c r="K33" s="21"/>
      <c r="L33" s="21"/>
    </row>
    <row r="34">
      <c r="A34" s="22">
        <v>1952.0</v>
      </c>
      <c r="B34" s="23" t="s">
        <v>138</v>
      </c>
      <c r="C34" s="23" t="s">
        <v>139</v>
      </c>
      <c r="D34" s="23" t="s">
        <v>140</v>
      </c>
      <c r="E34" s="24" t="s">
        <v>86</v>
      </c>
      <c r="F34" s="23" t="s">
        <v>141</v>
      </c>
      <c r="G34" s="23" t="s">
        <v>69</v>
      </c>
      <c r="H34" s="24" t="s">
        <v>88</v>
      </c>
      <c r="I34" s="25">
        <v>9.0</v>
      </c>
      <c r="J34" s="21"/>
      <c r="K34" s="21"/>
      <c r="L34" s="21"/>
    </row>
    <row r="35">
      <c r="A35" s="22">
        <v>1953.0</v>
      </c>
      <c r="B35" s="23" t="s">
        <v>142</v>
      </c>
      <c r="C35" s="23" t="s">
        <v>143</v>
      </c>
      <c r="D35" s="23" t="s">
        <v>144</v>
      </c>
      <c r="E35" s="24" t="s">
        <v>86</v>
      </c>
      <c r="F35" s="23" t="s">
        <v>87</v>
      </c>
      <c r="G35" s="23" t="s">
        <v>69</v>
      </c>
      <c r="H35" s="24" t="s">
        <v>88</v>
      </c>
      <c r="I35" s="25">
        <v>8.0</v>
      </c>
      <c r="J35" s="21"/>
      <c r="K35" s="21"/>
      <c r="L35" s="21"/>
    </row>
    <row r="36">
      <c r="A36" s="22">
        <v>1954.0</v>
      </c>
      <c r="B36" s="23" t="s">
        <v>145</v>
      </c>
      <c r="C36" s="23" t="s">
        <v>146</v>
      </c>
      <c r="D36" s="23" t="s">
        <v>147</v>
      </c>
      <c r="E36" s="24" t="s">
        <v>86</v>
      </c>
      <c r="F36" s="23" t="s">
        <v>148</v>
      </c>
      <c r="G36" s="23" t="s">
        <v>69</v>
      </c>
      <c r="H36" s="24" t="s">
        <v>121</v>
      </c>
      <c r="I36" s="25">
        <v>9.0</v>
      </c>
      <c r="J36" s="21"/>
      <c r="K36" s="21"/>
      <c r="L36" s="21"/>
    </row>
    <row r="37">
      <c r="A37" s="22">
        <v>1956.0</v>
      </c>
      <c r="B37" s="23" t="s">
        <v>149</v>
      </c>
      <c r="C37" s="23" t="s">
        <v>143</v>
      </c>
      <c r="D37" s="23" t="s">
        <v>150</v>
      </c>
      <c r="E37" s="24" t="s">
        <v>86</v>
      </c>
      <c r="F37" s="23" t="s">
        <v>148</v>
      </c>
      <c r="G37" s="23" t="s">
        <v>69</v>
      </c>
      <c r="H37" s="24" t="s">
        <v>121</v>
      </c>
      <c r="I37" s="25">
        <v>9.0</v>
      </c>
      <c r="J37" s="21"/>
      <c r="K37" s="21"/>
      <c r="L37" s="21"/>
    </row>
    <row r="38">
      <c r="A38" s="22">
        <v>1956.0</v>
      </c>
      <c r="B38" s="23" t="s">
        <v>151</v>
      </c>
      <c r="C38" s="23" t="s">
        <v>152</v>
      </c>
      <c r="D38" s="23" t="s">
        <v>153</v>
      </c>
      <c r="E38" s="24" t="s">
        <v>86</v>
      </c>
      <c r="F38" s="23" t="s">
        <v>132</v>
      </c>
      <c r="G38" s="23" t="s">
        <v>69</v>
      </c>
      <c r="H38" s="24" t="s">
        <v>34</v>
      </c>
      <c r="I38" s="25">
        <v>9.0</v>
      </c>
      <c r="J38" s="21"/>
      <c r="K38" s="21"/>
      <c r="L38" s="21"/>
    </row>
    <row r="39">
      <c r="A39" s="22">
        <v>1957.0</v>
      </c>
      <c r="B39" s="23" t="s">
        <v>154</v>
      </c>
      <c r="C39" s="23" t="s">
        <v>155</v>
      </c>
      <c r="D39" s="23" t="s">
        <v>156</v>
      </c>
      <c r="E39" s="24" t="s">
        <v>86</v>
      </c>
      <c r="F39" s="23" t="s">
        <v>141</v>
      </c>
      <c r="G39" s="23" t="s">
        <v>69</v>
      </c>
      <c r="H39" s="24" t="s">
        <v>121</v>
      </c>
      <c r="I39" s="25">
        <v>9.0</v>
      </c>
      <c r="J39" s="21"/>
      <c r="K39" s="21"/>
      <c r="L39" s="21"/>
    </row>
    <row r="40">
      <c r="A40" s="22">
        <v>1957.0</v>
      </c>
      <c r="B40" s="23" t="s">
        <v>157</v>
      </c>
      <c r="C40" s="23" t="s">
        <v>158</v>
      </c>
      <c r="D40" s="23" t="s">
        <v>159</v>
      </c>
      <c r="E40" s="24" t="s">
        <v>86</v>
      </c>
      <c r="F40" s="23" t="s">
        <v>68</v>
      </c>
      <c r="G40" s="23" t="s">
        <v>158</v>
      </c>
      <c r="H40" s="24" t="s">
        <v>121</v>
      </c>
      <c r="I40" s="25">
        <v>9.0</v>
      </c>
      <c r="J40" s="21"/>
      <c r="K40" s="21"/>
      <c r="L40" s="21"/>
    </row>
    <row r="41">
      <c r="A41" s="22">
        <v>1958.0</v>
      </c>
      <c r="B41" s="23" t="s">
        <v>160</v>
      </c>
      <c r="C41" s="23" t="s">
        <v>161</v>
      </c>
      <c r="D41" s="23" t="s">
        <v>162</v>
      </c>
      <c r="E41" s="24" t="s">
        <v>86</v>
      </c>
      <c r="F41" s="23" t="s">
        <v>148</v>
      </c>
      <c r="G41" s="23" t="s">
        <v>69</v>
      </c>
      <c r="H41" s="24" t="s">
        <v>163</v>
      </c>
      <c r="I41" s="25">
        <v>10.0</v>
      </c>
      <c r="J41" s="21"/>
      <c r="K41" s="21"/>
      <c r="L41" s="21"/>
    </row>
    <row r="42">
      <c r="A42" s="22">
        <v>1958.0</v>
      </c>
      <c r="B42" s="23" t="s">
        <v>164</v>
      </c>
      <c r="C42" s="23" t="s">
        <v>165</v>
      </c>
      <c r="D42" s="23" t="s">
        <v>166</v>
      </c>
      <c r="E42" s="24" t="s">
        <v>86</v>
      </c>
      <c r="F42" s="23" t="s">
        <v>141</v>
      </c>
      <c r="G42" s="23" t="s">
        <v>69</v>
      </c>
      <c r="H42" s="24" t="s">
        <v>121</v>
      </c>
      <c r="I42" s="25">
        <v>8.0</v>
      </c>
      <c r="J42" s="21"/>
      <c r="K42" s="21"/>
      <c r="L42" s="21"/>
    </row>
    <row r="43">
      <c r="A43" s="22">
        <v>1959.0</v>
      </c>
      <c r="B43" s="23" t="s">
        <v>167</v>
      </c>
      <c r="C43" s="23" t="s">
        <v>168</v>
      </c>
      <c r="D43" s="23" t="s">
        <v>169</v>
      </c>
      <c r="E43" s="24" t="s">
        <v>86</v>
      </c>
      <c r="F43" s="23" t="s">
        <v>141</v>
      </c>
      <c r="G43" s="23" t="s">
        <v>69</v>
      </c>
      <c r="H43" s="24" t="s">
        <v>121</v>
      </c>
      <c r="I43" s="25">
        <v>9.0</v>
      </c>
      <c r="J43" s="21"/>
      <c r="K43" s="21"/>
      <c r="L43" s="21"/>
    </row>
    <row r="44">
      <c r="A44" s="22">
        <v>1959.0</v>
      </c>
      <c r="B44" s="23" t="s">
        <v>170</v>
      </c>
      <c r="C44" s="23" t="s">
        <v>143</v>
      </c>
      <c r="D44" s="23" t="s">
        <v>171</v>
      </c>
      <c r="E44" s="24" t="s">
        <v>86</v>
      </c>
      <c r="F44" s="23" t="s">
        <v>172</v>
      </c>
      <c r="G44" s="23" t="s">
        <v>69</v>
      </c>
      <c r="H44" s="24" t="s">
        <v>121</v>
      </c>
      <c r="I44" s="25">
        <v>8.0</v>
      </c>
      <c r="J44" s="21"/>
      <c r="K44" s="21"/>
      <c r="L44" s="21"/>
    </row>
    <row r="45">
      <c r="A45" s="22">
        <v>1960.0</v>
      </c>
      <c r="B45" s="23" t="s">
        <v>173</v>
      </c>
      <c r="C45" s="23" t="s">
        <v>174</v>
      </c>
      <c r="D45" s="23" t="s">
        <v>175</v>
      </c>
      <c r="E45" s="24" t="s">
        <v>86</v>
      </c>
      <c r="F45" s="23" t="s">
        <v>176</v>
      </c>
      <c r="G45" s="23" t="s">
        <v>69</v>
      </c>
      <c r="H45" s="24" t="s">
        <v>163</v>
      </c>
      <c r="I45" s="25">
        <v>9.0</v>
      </c>
      <c r="J45" s="21"/>
      <c r="K45" s="21"/>
      <c r="L45" s="21"/>
    </row>
    <row r="46">
      <c r="A46" s="22">
        <v>1961.0</v>
      </c>
      <c r="B46" s="23" t="s">
        <v>177</v>
      </c>
      <c r="C46" s="23" t="s">
        <v>178</v>
      </c>
      <c r="D46" s="23" t="s">
        <v>179</v>
      </c>
      <c r="E46" s="24" t="s">
        <v>86</v>
      </c>
      <c r="F46" s="23" t="s">
        <v>180</v>
      </c>
      <c r="G46" s="23" t="s">
        <v>69</v>
      </c>
      <c r="H46" s="24" t="s">
        <v>163</v>
      </c>
      <c r="I46" s="25">
        <v>8.0</v>
      </c>
      <c r="J46" s="21"/>
      <c r="K46" s="21"/>
      <c r="L46" s="21"/>
    </row>
    <row r="47">
      <c r="A47" s="22">
        <v>1962.0</v>
      </c>
      <c r="B47" s="23" t="s">
        <v>181</v>
      </c>
      <c r="C47" s="23" t="s">
        <v>182</v>
      </c>
      <c r="D47" s="23" t="s">
        <v>183</v>
      </c>
      <c r="E47" s="24" t="s">
        <v>86</v>
      </c>
      <c r="F47" s="23" t="s">
        <v>141</v>
      </c>
      <c r="G47" s="23" t="s">
        <v>69</v>
      </c>
      <c r="H47" s="24" t="s">
        <v>163</v>
      </c>
      <c r="I47" s="25">
        <v>7.0</v>
      </c>
      <c r="J47" s="21"/>
      <c r="K47" s="21"/>
      <c r="L47" s="21"/>
    </row>
    <row r="48">
      <c r="A48" s="22">
        <v>1963.0</v>
      </c>
      <c r="B48" s="23" t="s">
        <v>184</v>
      </c>
      <c r="C48" s="23" t="s">
        <v>185</v>
      </c>
      <c r="D48" s="23" t="s">
        <v>186</v>
      </c>
      <c r="E48" s="24" t="s">
        <v>86</v>
      </c>
      <c r="F48" s="23" t="s">
        <v>141</v>
      </c>
      <c r="G48" s="23" t="s">
        <v>69</v>
      </c>
      <c r="H48" s="24" t="s">
        <v>163</v>
      </c>
      <c r="I48" s="25">
        <v>9.0</v>
      </c>
      <c r="J48" s="21"/>
      <c r="K48" s="21"/>
      <c r="L48" s="21"/>
    </row>
    <row r="49">
      <c r="A49" s="22">
        <v>1963.0</v>
      </c>
      <c r="B49" s="23" t="s">
        <v>187</v>
      </c>
      <c r="C49" s="23" t="s">
        <v>188</v>
      </c>
      <c r="D49" s="23" t="s">
        <v>189</v>
      </c>
      <c r="E49" s="24" t="s">
        <v>86</v>
      </c>
      <c r="F49" s="23" t="s">
        <v>190</v>
      </c>
      <c r="G49" s="23" t="s">
        <v>69</v>
      </c>
      <c r="H49" s="24" t="s">
        <v>163</v>
      </c>
      <c r="I49" s="25">
        <v>9.0</v>
      </c>
      <c r="J49" s="21"/>
      <c r="K49" s="21"/>
      <c r="L49" s="21"/>
    </row>
    <row r="50">
      <c r="A50" s="22">
        <v>1964.0</v>
      </c>
      <c r="B50" s="23" t="s">
        <v>191</v>
      </c>
      <c r="C50" s="23" t="s">
        <v>143</v>
      </c>
      <c r="D50" s="23" t="s">
        <v>192</v>
      </c>
      <c r="E50" s="24" t="s">
        <v>86</v>
      </c>
      <c r="F50" s="23" t="s">
        <v>172</v>
      </c>
      <c r="G50" s="23" t="s">
        <v>69</v>
      </c>
      <c r="H50" s="24" t="s">
        <v>163</v>
      </c>
      <c r="I50" s="25">
        <v>10.0</v>
      </c>
      <c r="J50" s="21"/>
      <c r="K50" s="21"/>
      <c r="L50" s="21"/>
    </row>
    <row r="51">
      <c r="A51" s="22">
        <v>1964.0</v>
      </c>
      <c r="B51" s="23" t="s">
        <v>193</v>
      </c>
      <c r="C51" s="23" t="s">
        <v>194</v>
      </c>
      <c r="D51" s="23" t="s">
        <v>195</v>
      </c>
      <c r="E51" s="24" t="s">
        <v>86</v>
      </c>
      <c r="F51" s="23" t="s">
        <v>141</v>
      </c>
      <c r="G51" s="23" t="s">
        <v>69</v>
      </c>
      <c r="H51" s="24" t="s">
        <v>163</v>
      </c>
      <c r="I51" s="25">
        <v>8.0</v>
      </c>
      <c r="J51" s="21"/>
      <c r="K51" s="21"/>
      <c r="L51" s="21"/>
    </row>
    <row r="52">
      <c r="A52" s="22">
        <v>1965.0</v>
      </c>
      <c r="B52" s="23" t="s">
        <v>196</v>
      </c>
      <c r="C52" s="23" t="s">
        <v>197</v>
      </c>
      <c r="D52" s="23" t="s">
        <v>198</v>
      </c>
      <c r="E52" s="24" t="s">
        <v>86</v>
      </c>
      <c r="F52" s="23" t="s">
        <v>34</v>
      </c>
      <c r="G52" s="23" t="s">
        <v>69</v>
      </c>
      <c r="H52" s="24" t="s">
        <v>163</v>
      </c>
      <c r="I52" s="25">
        <v>9.0</v>
      </c>
      <c r="J52" s="21"/>
      <c r="K52" s="21"/>
      <c r="L52" s="21"/>
    </row>
    <row r="53">
      <c r="A53" s="22">
        <v>1965.0</v>
      </c>
      <c r="B53" s="23" t="s">
        <v>199</v>
      </c>
      <c r="C53" s="23" t="s">
        <v>200</v>
      </c>
      <c r="D53" s="23" t="s">
        <v>201</v>
      </c>
      <c r="E53" s="24" t="s">
        <v>86</v>
      </c>
      <c r="F53" s="23" t="s">
        <v>34</v>
      </c>
      <c r="G53" s="23" t="s">
        <v>69</v>
      </c>
      <c r="H53" s="24" t="s">
        <v>163</v>
      </c>
      <c r="I53" s="25">
        <v>8.0</v>
      </c>
      <c r="J53" s="21"/>
      <c r="K53" s="21"/>
      <c r="L53" s="21"/>
    </row>
    <row r="54">
      <c r="A54" s="22">
        <v>1966.0</v>
      </c>
      <c r="B54" s="23" t="s">
        <v>202</v>
      </c>
      <c r="C54" s="23" t="s">
        <v>203</v>
      </c>
      <c r="D54" s="23" t="s">
        <v>204</v>
      </c>
      <c r="E54" s="24" t="s">
        <v>86</v>
      </c>
      <c r="F54" s="23" t="s">
        <v>132</v>
      </c>
      <c r="G54" s="23" t="s">
        <v>69</v>
      </c>
      <c r="H54" s="24" t="s">
        <v>163</v>
      </c>
      <c r="I54" s="25">
        <v>7.0</v>
      </c>
      <c r="J54" s="21"/>
      <c r="K54" s="21"/>
      <c r="L54" s="21"/>
    </row>
    <row r="55">
      <c r="A55" s="22">
        <v>1968.0</v>
      </c>
      <c r="B55" s="23" t="s">
        <v>205</v>
      </c>
      <c r="C55" s="23" t="s">
        <v>188</v>
      </c>
      <c r="D55" s="23" t="s">
        <v>206</v>
      </c>
      <c r="E55" s="24" t="s">
        <v>86</v>
      </c>
      <c r="F55" s="23" t="s">
        <v>207</v>
      </c>
      <c r="G55" s="23" t="s">
        <v>69</v>
      </c>
      <c r="H55" s="24" t="s">
        <v>163</v>
      </c>
      <c r="I55" s="25">
        <v>10.0</v>
      </c>
      <c r="J55" s="21"/>
      <c r="K55" s="21"/>
      <c r="L55" s="21"/>
    </row>
    <row r="56">
      <c r="A56" s="22">
        <v>1969.0</v>
      </c>
      <c r="B56" s="23" t="s">
        <v>208</v>
      </c>
      <c r="C56" s="23" t="s">
        <v>209</v>
      </c>
      <c r="D56" s="23" t="s">
        <v>210</v>
      </c>
      <c r="E56" s="24" t="s">
        <v>86</v>
      </c>
      <c r="F56" s="23" t="s">
        <v>176</v>
      </c>
      <c r="G56" s="23" t="s">
        <v>69</v>
      </c>
      <c r="H56" s="24" t="s">
        <v>163</v>
      </c>
      <c r="I56" s="25">
        <v>10.0</v>
      </c>
      <c r="J56" s="21"/>
      <c r="K56" s="21"/>
      <c r="L56" s="21"/>
    </row>
    <row r="57">
      <c r="A57" s="22">
        <v>1969.0</v>
      </c>
      <c r="B57" s="23" t="s">
        <v>211</v>
      </c>
      <c r="C57" s="23" t="s">
        <v>212</v>
      </c>
      <c r="D57" s="23" t="s">
        <v>213</v>
      </c>
      <c r="E57" s="24" t="s">
        <v>86</v>
      </c>
      <c r="F57" s="23" t="s">
        <v>141</v>
      </c>
      <c r="G57" s="23" t="s">
        <v>69</v>
      </c>
      <c r="H57" s="24" t="s">
        <v>163</v>
      </c>
      <c r="I57" s="25">
        <v>10.0</v>
      </c>
      <c r="J57" s="21"/>
      <c r="K57" s="21"/>
      <c r="L57" s="21"/>
    </row>
    <row r="58">
      <c r="A58" s="22">
        <v>1969.0</v>
      </c>
      <c r="B58" s="23" t="s">
        <v>214</v>
      </c>
      <c r="C58" s="23" t="s">
        <v>215</v>
      </c>
      <c r="D58" s="23" t="s">
        <v>216</v>
      </c>
      <c r="E58" s="24" t="s">
        <v>86</v>
      </c>
      <c r="F58" s="23" t="s">
        <v>148</v>
      </c>
      <c r="G58" s="23" t="s">
        <v>69</v>
      </c>
      <c r="H58" s="24" t="s">
        <v>163</v>
      </c>
      <c r="I58" s="25">
        <v>8.0</v>
      </c>
      <c r="J58" s="21"/>
      <c r="K58" s="21"/>
      <c r="L58" s="21"/>
    </row>
    <row r="59">
      <c r="A59" s="22">
        <v>1970.0</v>
      </c>
      <c r="B59" s="23" t="s">
        <v>217</v>
      </c>
      <c r="C59" s="23" t="s">
        <v>218</v>
      </c>
      <c r="D59" s="23" t="s">
        <v>219</v>
      </c>
      <c r="E59" s="24" t="s">
        <v>86</v>
      </c>
      <c r="F59" s="23" t="s">
        <v>34</v>
      </c>
      <c r="G59" s="23" t="s">
        <v>69</v>
      </c>
      <c r="H59" s="24" t="s">
        <v>163</v>
      </c>
      <c r="I59" s="25">
        <v>9.0</v>
      </c>
      <c r="J59" s="21"/>
      <c r="K59" s="21"/>
      <c r="L59" s="21"/>
    </row>
    <row r="60">
      <c r="A60" s="22">
        <v>1970.0</v>
      </c>
      <c r="B60" s="23" t="s">
        <v>220</v>
      </c>
      <c r="C60" s="23" t="s">
        <v>221</v>
      </c>
      <c r="D60" s="23" t="s">
        <v>222</v>
      </c>
      <c r="E60" s="24" t="s">
        <v>86</v>
      </c>
      <c r="F60" s="23" t="s">
        <v>148</v>
      </c>
      <c r="G60" s="23" t="s">
        <v>69</v>
      </c>
      <c r="H60" s="24" t="s">
        <v>163</v>
      </c>
      <c r="I60" s="25">
        <v>9.0</v>
      </c>
      <c r="J60" s="21"/>
      <c r="K60" s="21"/>
      <c r="L60" s="21"/>
    </row>
    <row r="61">
      <c r="A61" s="22">
        <v>1971.0</v>
      </c>
      <c r="B61" s="23" t="s">
        <v>223</v>
      </c>
      <c r="C61" s="23" t="s">
        <v>224</v>
      </c>
      <c r="D61" s="23" t="s">
        <v>225</v>
      </c>
      <c r="E61" s="24" t="s">
        <v>86</v>
      </c>
      <c r="F61" s="23" t="s">
        <v>172</v>
      </c>
      <c r="G61" s="23" t="s">
        <v>69</v>
      </c>
      <c r="H61" s="24" t="s">
        <v>226</v>
      </c>
      <c r="I61" s="25">
        <v>10.0</v>
      </c>
      <c r="J61" s="21"/>
      <c r="K61" s="21"/>
      <c r="L61" s="21"/>
    </row>
    <row r="62">
      <c r="A62" s="22">
        <v>1971.0</v>
      </c>
      <c r="B62" s="23" t="s">
        <v>227</v>
      </c>
      <c r="C62" s="23" t="s">
        <v>228</v>
      </c>
      <c r="D62" s="23" t="s">
        <v>229</v>
      </c>
      <c r="E62" s="24" t="s">
        <v>86</v>
      </c>
      <c r="F62" s="23" t="s">
        <v>141</v>
      </c>
      <c r="G62" s="23" t="s">
        <v>69</v>
      </c>
      <c r="H62" s="24" t="s">
        <v>226</v>
      </c>
      <c r="I62" s="25">
        <v>9.0</v>
      </c>
      <c r="J62" s="21"/>
      <c r="K62" s="21"/>
      <c r="L62" s="21"/>
    </row>
    <row r="63">
      <c r="A63" s="22">
        <v>1971.0</v>
      </c>
      <c r="B63" s="23" t="s">
        <v>230</v>
      </c>
      <c r="C63" s="23" t="s">
        <v>143</v>
      </c>
      <c r="D63" s="23" t="s">
        <v>231</v>
      </c>
      <c r="E63" s="24" t="s">
        <v>86</v>
      </c>
      <c r="F63" s="23" t="s">
        <v>148</v>
      </c>
      <c r="G63" s="23" t="s">
        <v>69</v>
      </c>
      <c r="H63" s="24" t="s">
        <v>226</v>
      </c>
      <c r="I63" s="25">
        <v>8.0</v>
      </c>
      <c r="J63" s="21"/>
      <c r="K63" s="21"/>
      <c r="L63" s="21"/>
    </row>
    <row r="64">
      <c r="A64" s="22">
        <v>1972.0</v>
      </c>
      <c r="B64" s="23" t="s">
        <v>232</v>
      </c>
      <c r="C64" s="23" t="s">
        <v>233</v>
      </c>
      <c r="D64" s="23" t="s">
        <v>234</v>
      </c>
      <c r="E64" s="24" t="s">
        <v>86</v>
      </c>
      <c r="F64" s="23" t="s">
        <v>141</v>
      </c>
      <c r="G64" s="23" t="s">
        <v>69</v>
      </c>
      <c r="H64" s="24" t="s">
        <v>226</v>
      </c>
      <c r="I64" s="25">
        <v>10.0</v>
      </c>
      <c r="J64" s="21"/>
      <c r="K64" s="21"/>
      <c r="L64" s="21"/>
    </row>
    <row r="65">
      <c r="A65" s="22">
        <v>1972.0</v>
      </c>
      <c r="B65" s="23" t="s">
        <v>235</v>
      </c>
      <c r="C65" s="23" t="s">
        <v>236</v>
      </c>
      <c r="D65" s="23" t="s">
        <v>237</v>
      </c>
      <c r="E65" s="24" t="s">
        <v>86</v>
      </c>
      <c r="F65" s="23" t="s">
        <v>172</v>
      </c>
      <c r="G65" s="23" t="s">
        <v>69</v>
      </c>
      <c r="H65" s="24" t="s">
        <v>226</v>
      </c>
      <c r="I65" s="25">
        <v>8.0</v>
      </c>
      <c r="J65" s="21"/>
      <c r="K65" s="21"/>
      <c r="L65" s="21"/>
    </row>
    <row r="66">
      <c r="A66" s="22">
        <v>1972.0</v>
      </c>
      <c r="B66" s="23" t="s">
        <v>238</v>
      </c>
      <c r="C66" s="23" t="s">
        <v>239</v>
      </c>
      <c r="D66" s="23" t="s">
        <v>240</v>
      </c>
      <c r="E66" s="24" t="s">
        <v>86</v>
      </c>
      <c r="F66" s="23" t="s">
        <v>172</v>
      </c>
      <c r="G66" s="23" t="s">
        <v>69</v>
      </c>
      <c r="H66" s="24" t="s">
        <v>226</v>
      </c>
      <c r="I66" s="25">
        <v>7.0</v>
      </c>
      <c r="J66" s="21"/>
      <c r="K66" s="21"/>
      <c r="L66" s="21"/>
    </row>
    <row r="67">
      <c r="A67" s="22">
        <v>1973.0</v>
      </c>
      <c r="B67" s="23" t="s">
        <v>241</v>
      </c>
      <c r="C67" s="23" t="s">
        <v>242</v>
      </c>
      <c r="D67" s="23" t="s">
        <v>243</v>
      </c>
      <c r="E67" s="24" t="s">
        <v>86</v>
      </c>
      <c r="F67" s="23" t="s">
        <v>176</v>
      </c>
      <c r="G67" s="23" t="s">
        <v>69</v>
      </c>
      <c r="H67" s="24" t="s">
        <v>226</v>
      </c>
      <c r="I67" s="25">
        <v>10.0</v>
      </c>
      <c r="J67" s="21"/>
      <c r="K67" s="21"/>
      <c r="L67" s="21"/>
    </row>
    <row r="68">
      <c r="A68" s="22">
        <v>1973.0</v>
      </c>
      <c r="B68" s="23" t="s">
        <v>244</v>
      </c>
      <c r="C68" s="23" t="s">
        <v>245</v>
      </c>
      <c r="D68" s="23" t="s">
        <v>246</v>
      </c>
      <c r="E68" s="24" t="s">
        <v>86</v>
      </c>
      <c r="F68" s="23" t="s">
        <v>172</v>
      </c>
      <c r="G68" s="23" t="s">
        <v>69</v>
      </c>
      <c r="H68" s="24" t="s">
        <v>226</v>
      </c>
      <c r="I68" s="25">
        <v>9.0</v>
      </c>
      <c r="J68" s="21"/>
      <c r="K68" s="21"/>
      <c r="L68" s="21"/>
    </row>
    <row r="69">
      <c r="A69" s="22">
        <v>1973.0</v>
      </c>
      <c r="B69" s="23" t="s">
        <v>247</v>
      </c>
      <c r="C69" s="23" t="s">
        <v>248</v>
      </c>
      <c r="D69" s="23" t="s">
        <v>249</v>
      </c>
      <c r="E69" s="24" t="s">
        <v>86</v>
      </c>
      <c r="F69" s="23" t="s">
        <v>68</v>
      </c>
      <c r="G69" s="23" t="s">
        <v>69</v>
      </c>
      <c r="H69" s="24" t="s">
        <v>226</v>
      </c>
      <c r="I69" s="25">
        <v>9.0</v>
      </c>
      <c r="J69" s="21"/>
      <c r="K69" s="21"/>
      <c r="L69" s="21"/>
    </row>
    <row r="70">
      <c r="A70" s="22">
        <v>1974.0</v>
      </c>
      <c r="B70" s="23" t="s">
        <v>250</v>
      </c>
      <c r="C70" s="23" t="s">
        <v>251</v>
      </c>
      <c r="D70" s="23" t="s">
        <v>252</v>
      </c>
      <c r="E70" s="24" t="s">
        <v>86</v>
      </c>
      <c r="F70" s="23" t="s">
        <v>176</v>
      </c>
      <c r="G70" s="23" t="s">
        <v>69</v>
      </c>
      <c r="H70" s="24" t="s">
        <v>226</v>
      </c>
      <c r="I70" s="25">
        <v>10.0</v>
      </c>
      <c r="J70" s="21"/>
      <c r="K70" s="21"/>
      <c r="L70" s="21"/>
    </row>
    <row r="71">
      <c r="A71" s="22">
        <v>1975.0</v>
      </c>
      <c r="B71" s="23" t="s">
        <v>253</v>
      </c>
      <c r="C71" s="23" t="s">
        <v>254</v>
      </c>
      <c r="D71" s="23" t="s">
        <v>255</v>
      </c>
      <c r="E71" s="24" t="s">
        <v>86</v>
      </c>
      <c r="F71" s="23" t="s">
        <v>172</v>
      </c>
      <c r="G71" s="23" t="s">
        <v>69</v>
      </c>
      <c r="H71" s="24" t="s">
        <v>226</v>
      </c>
      <c r="I71" s="25">
        <v>8.0</v>
      </c>
      <c r="J71" s="21"/>
      <c r="K71" s="21"/>
      <c r="L71" s="21"/>
    </row>
    <row r="72">
      <c r="A72" s="22">
        <v>1975.0</v>
      </c>
      <c r="B72" s="23" t="s">
        <v>256</v>
      </c>
      <c r="C72" s="23" t="s">
        <v>257</v>
      </c>
      <c r="D72" s="23" t="s">
        <v>258</v>
      </c>
      <c r="E72" s="24" t="s">
        <v>86</v>
      </c>
      <c r="F72" s="23" t="s">
        <v>82</v>
      </c>
      <c r="G72" s="23" t="s">
        <v>69</v>
      </c>
      <c r="H72" s="24" t="s">
        <v>226</v>
      </c>
      <c r="I72" s="25">
        <v>9.0</v>
      </c>
      <c r="J72" s="21"/>
      <c r="K72" s="21"/>
      <c r="L72" s="21"/>
    </row>
    <row r="73">
      <c r="A73" s="22">
        <v>1976.0</v>
      </c>
      <c r="B73" s="23" t="s">
        <v>259</v>
      </c>
      <c r="C73" s="23" t="s">
        <v>260</v>
      </c>
      <c r="D73" s="23" t="s">
        <v>261</v>
      </c>
      <c r="E73" s="24" t="s">
        <v>86</v>
      </c>
      <c r="F73" s="23" t="s">
        <v>172</v>
      </c>
      <c r="G73" s="23" t="s">
        <v>69</v>
      </c>
      <c r="H73" s="24" t="s">
        <v>226</v>
      </c>
      <c r="I73" s="25">
        <v>8.0</v>
      </c>
      <c r="J73" s="21"/>
      <c r="K73" s="21"/>
      <c r="L73" s="21"/>
    </row>
    <row r="74">
      <c r="A74" s="22">
        <v>1976.0</v>
      </c>
      <c r="B74" s="23" t="s">
        <v>262</v>
      </c>
      <c r="C74" s="23" t="s">
        <v>263</v>
      </c>
      <c r="D74" s="23" t="s">
        <v>264</v>
      </c>
      <c r="E74" s="24" t="s">
        <v>86</v>
      </c>
      <c r="F74" s="23" t="s">
        <v>172</v>
      </c>
      <c r="G74" s="23" t="s">
        <v>69</v>
      </c>
      <c r="H74" s="24" t="s">
        <v>226</v>
      </c>
      <c r="I74" s="25">
        <v>8.0</v>
      </c>
      <c r="J74" s="21"/>
      <c r="K74" s="21"/>
      <c r="L74" s="21"/>
    </row>
    <row r="75">
      <c r="A75" s="22">
        <v>1977.0</v>
      </c>
      <c r="B75" s="23" t="s">
        <v>265</v>
      </c>
      <c r="C75" s="23" t="s">
        <v>266</v>
      </c>
      <c r="D75" s="23" t="s">
        <v>267</v>
      </c>
      <c r="E75" s="24" t="s">
        <v>86</v>
      </c>
      <c r="F75" s="23" t="s">
        <v>172</v>
      </c>
      <c r="G75" s="23" t="s">
        <v>69</v>
      </c>
      <c r="H75" s="24" t="s">
        <v>226</v>
      </c>
      <c r="I75" s="25">
        <v>9.0</v>
      </c>
      <c r="J75" s="21"/>
      <c r="K75" s="21"/>
      <c r="L75" s="21"/>
    </row>
    <row r="76">
      <c r="A76" s="22">
        <v>1977.0</v>
      </c>
      <c r="B76" s="23" t="s">
        <v>268</v>
      </c>
      <c r="C76" s="23" t="s">
        <v>269</v>
      </c>
      <c r="D76" s="23" t="s">
        <v>270</v>
      </c>
      <c r="E76" s="24" t="s">
        <v>86</v>
      </c>
      <c r="F76" s="23" t="s">
        <v>172</v>
      </c>
      <c r="G76" s="23" t="s">
        <v>69</v>
      </c>
      <c r="H76" s="24" t="s">
        <v>226</v>
      </c>
      <c r="I76" s="25">
        <v>7.0</v>
      </c>
      <c r="J76" s="21"/>
      <c r="K76" s="21"/>
      <c r="L76" s="21"/>
    </row>
    <row r="77">
      <c r="A77" s="22">
        <v>1977.0</v>
      </c>
      <c r="B77" s="23" t="s">
        <v>271</v>
      </c>
      <c r="C77" s="23" t="s">
        <v>272</v>
      </c>
      <c r="D77" s="23" t="s">
        <v>273</v>
      </c>
      <c r="E77" s="24" t="s">
        <v>86</v>
      </c>
      <c r="F77" s="23" t="s">
        <v>172</v>
      </c>
      <c r="G77" s="23" t="s">
        <v>69</v>
      </c>
      <c r="H77" s="24" t="s">
        <v>226</v>
      </c>
      <c r="I77" s="25">
        <v>7.0</v>
      </c>
      <c r="J77" s="21"/>
      <c r="K77" s="21"/>
      <c r="L77" s="21"/>
    </row>
    <row r="78">
      <c r="A78" s="22">
        <v>1977.0</v>
      </c>
      <c r="B78" s="23" t="s">
        <v>274</v>
      </c>
      <c r="C78" s="23" t="s">
        <v>236</v>
      </c>
      <c r="D78" s="23" t="s">
        <v>275</v>
      </c>
      <c r="E78" s="24" t="s">
        <v>86</v>
      </c>
      <c r="F78" s="23" t="s">
        <v>172</v>
      </c>
      <c r="G78" s="23" t="s">
        <v>69</v>
      </c>
      <c r="H78" s="24" t="s">
        <v>226</v>
      </c>
      <c r="I78" s="25">
        <v>8.0</v>
      </c>
      <c r="J78" s="21"/>
      <c r="K78" s="21"/>
      <c r="L78" s="21"/>
    </row>
    <row r="79">
      <c r="A79" s="22">
        <v>1978.0</v>
      </c>
      <c r="B79" s="23" t="s">
        <v>276</v>
      </c>
      <c r="C79" s="23" t="s">
        <v>277</v>
      </c>
      <c r="D79" s="23" t="s">
        <v>278</v>
      </c>
      <c r="E79" s="24" t="s">
        <v>86</v>
      </c>
      <c r="F79" s="23" t="s">
        <v>148</v>
      </c>
      <c r="G79" s="23" t="s">
        <v>69</v>
      </c>
      <c r="H79" s="24" t="s">
        <v>226</v>
      </c>
      <c r="I79" s="25">
        <v>10.0</v>
      </c>
      <c r="J79" s="21"/>
      <c r="K79" s="21"/>
      <c r="L79" s="21"/>
    </row>
    <row r="80">
      <c r="A80" s="22">
        <v>1979.0</v>
      </c>
      <c r="B80" s="23" t="s">
        <v>279</v>
      </c>
      <c r="C80" s="23" t="s">
        <v>280</v>
      </c>
      <c r="D80" s="23" t="s">
        <v>281</v>
      </c>
      <c r="E80" s="24" t="s">
        <v>86</v>
      </c>
      <c r="F80" s="23" t="s">
        <v>141</v>
      </c>
      <c r="G80" s="23" t="s">
        <v>69</v>
      </c>
      <c r="H80" s="24" t="s">
        <v>226</v>
      </c>
      <c r="I80" s="25">
        <v>9.0</v>
      </c>
      <c r="J80" s="21"/>
      <c r="K80" s="21"/>
      <c r="L80" s="21"/>
    </row>
    <row r="81">
      <c r="A81" s="22">
        <v>1979.0</v>
      </c>
      <c r="B81" s="23" t="s">
        <v>282</v>
      </c>
      <c r="C81" s="23" t="s">
        <v>283</v>
      </c>
      <c r="D81" s="23" t="s">
        <v>284</v>
      </c>
      <c r="E81" s="24" t="s">
        <v>86</v>
      </c>
      <c r="F81" s="23" t="s">
        <v>148</v>
      </c>
      <c r="G81" s="23" t="s">
        <v>285</v>
      </c>
      <c r="H81" s="24" t="s">
        <v>226</v>
      </c>
      <c r="I81" s="25">
        <v>8.0</v>
      </c>
      <c r="J81" s="21"/>
      <c r="K81" s="21"/>
      <c r="L81" s="21"/>
    </row>
    <row r="82">
      <c r="A82" s="22">
        <v>1979.0</v>
      </c>
      <c r="B82" s="23" t="s">
        <v>286</v>
      </c>
      <c r="C82" s="23" t="s">
        <v>287</v>
      </c>
      <c r="D82" s="23" t="s">
        <v>288</v>
      </c>
      <c r="E82" s="24" t="s">
        <v>86</v>
      </c>
      <c r="F82" s="23" t="s">
        <v>141</v>
      </c>
      <c r="G82" s="23" t="s">
        <v>285</v>
      </c>
      <c r="H82" s="24" t="s">
        <v>226</v>
      </c>
      <c r="I82" s="25">
        <v>7.0</v>
      </c>
      <c r="J82" s="21"/>
      <c r="K82" s="21"/>
      <c r="L82" s="21"/>
    </row>
    <row r="83">
      <c r="A83" s="22">
        <v>1980.0</v>
      </c>
      <c r="B83" s="23" t="s">
        <v>289</v>
      </c>
      <c r="C83" s="23" t="s">
        <v>290</v>
      </c>
      <c r="D83" s="23" t="s">
        <v>291</v>
      </c>
      <c r="E83" s="24" t="s">
        <v>86</v>
      </c>
      <c r="F83" s="23" t="s">
        <v>148</v>
      </c>
      <c r="G83" s="23" t="s">
        <v>69</v>
      </c>
      <c r="H83" s="24" t="s">
        <v>226</v>
      </c>
      <c r="I83" s="25">
        <v>7.0</v>
      </c>
      <c r="J83" s="21"/>
      <c r="K83" s="21"/>
      <c r="L83" s="21"/>
    </row>
    <row r="84">
      <c r="A84" s="22">
        <v>1981.0</v>
      </c>
      <c r="B84" s="23" t="s">
        <v>292</v>
      </c>
      <c r="C84" s="23" t="s">
        <v>143</v>
      </c>
      <c r="D84" s="23" t="s">
        <v>293</v>
      </c>
      <c r="E84" s="24" t="s">
        <v>86</v>
      </c>
      <c r="F84" s="23" t="s">
        <v>172</v>
      </c>
      <c r="G84" s="23" t="s">
        <v>69</v>
      </c>
      <c r="H84" s="24" t="s">
        <v>226</v>
      </c>
      <c r="I84" s="25">
        <v>10.0</v>
      </c>
      <c r="J84" s="21"/>
      <c r="K84" s="21"/>
      <c r="L84" s="21"/>
    </row>
    <row r="85">
      <c r="A85" s="22">
        <v>1981.0</v>
      </c>
      <c r="B85" s="23" t="s">
        <v>294</v>
      </c>
      <c r="C85" s="23" t="s">
        <v>256</v>
      </c>
      <c r="D85" s="23" t="s">
        <v>295</v>
      </c>
      <c r="E85" s="24" t="s">
        <v>86</v>
      </c>
      <c r="F85" s="23" t="s">
        <v>141</v>
      </c>
      <c r="G85" s="23" t="s">
        <v>69</v>
      </c>
      <c r="H85" s="24" t="s">
        <v>226</v>
      </c>
      <c r="I85" s="25">
        <v>9.0</v>
      </c>
      <c r="J85" s="21"/>
      <c r="K85" s="21"/>
      <c r="L85" s="21"/>
    </row>
    <row r="86">
      <c r="A86" s="22">
        <v>1981.0</v>
      </c>
      <c r="B86" s="23" t="s">
        <v>296</v>
      </c>
      <c r="C86" s="23" t="s">
        <v>297</v>
      </c>
      <c r="D86" s="23" t="s">
        <v>298</v>
      </c>
      <c r="E86" s="24" t="s">
        <v>86</v>
      </c>
      <c r="F86" s="23" t="s">
        <v>172</v>
      </c>
      <c r="G86" s="23" t="s">
        <v>69</v>
      </c>
      <c r="H86" s="24" t="s">
        <v>226</v>
      </c>
      <c r="I86" s="25">
        <v>7.0</v>
      </c>
      <c r="J86" s="21"/>
      <c r="K86" s="21"/>
      <c r="L86" s="21"/>
    </row>
    <row r="87">
      <c r="A87" s="22">
        <v>1982.0</v>
      </c>
      <c r="B87" s="23" t="s">
        <v>299</v>
      </c>
      <c r="C87" s="23" t="s">
        <v>269</v>
      </c>
      <c r="D87" s="23" t="s">
        <v>300</v>
      </c>
      <c r="E87" s="24" t="s">
        <v>86</v>
      </c>
      <c r="F87" s="23" t="s">
        <v>172</v>
      </c>
      <c r="G87" s="23" t="s">
        <v>69</v>
      </c>
      <c r="H87" s="24" t="s">
        <v>226</v>
      </c>
      <c r="I87" s="25">
        <v>8.0</v>
      </c>
      <c r="J87" s="21"/>
      <c r="K87" s="21"/>
      <c r="L87" s="21"/>
    </row>
    <row r="88">
      <c r="A88" s="22">
        <v>1982.0</v>
      </c>
      <c r="B88" s="23" t="s">
        <v>301</v>
      </c>
      <c r="C88" s="23" t="s">
        <v>302</v>
      </c>
      <c r="D88" s="23" t="s">
        <v>303</v>
      </c>
      <c r="E88" s="24" t="s">
        <v>86</v>
      </c>
      <c r="F88" s="23" t="s">
        <v>148</v>
      </c>
      <c r="G88" s="23" t="s">
        <v>304</v>
      </c>
      <c r="H88" s="24" t="s">
        <v>226</v>
      </c>
      <c r="I88" s="25">
        <v>8.0</v>
      </c>
      <c r="J88" s="21"/>
      <c r="K88" s="21"/>
      <c r="L88" s="21"/>
    </row>
    <row r="89">
      <c r="A89" s="22">
        <v>1982.0</v>
      </c>
      <c r="B89" s="23" t="s">
        <v>305</v>
      </c>
      <c r="C89" s="23" t="s">
        <v>306</v>
      </c>
      <c r="D89" s="23" t="s">
        <v>307</v>
      </c>
      <c r="E89" s="24" t="s">
        <v>86</v>
      </c>
      <c r="F89" s="23" t="s">
        <v>176</v>
      </c>
      <c r="G89" s="23" t="s">
        <v>69</v>
      </c>
      <c r="H89" s="24" t="s">
        <v>226</v>
      </c>
      <c r="I89" s="25">
        <v>8.0</v>
      </c>
      <c r="J89" s="21"/>
      <c r="K89" s="21"/>
      <c r="L89" s="21"/>
    </row>
    <row r="90">
      <c r="A90" s="22">
        <v>1983.0</v>
      </c>
      <c r="B90" s="23" t="s">
        <v>308</v>
      </c>
      <c r="C90" s="23" t="s">
        <v>208</v>
      </c>
      <c r="D90" s="23" t="s">
        <v>309</v>
      </c>
      <c r="E90" s="24" t="s">
        <v>86</v>
      </c>
      <c r="F90" s="23" t="s">
        <v>176</v>
      </c>
      <c r="G90" s="23" t="s">
        <v>69</v>
      </c>
      <c r="H90" s="24" t="s">
        <v>226</v>
      </c>
      <c r="I90" s="25">
        <v>10.0</v>
      </c>
      <c r="J90" s="21"/>
      <c r="K90" s="21"/>
      <c r="L90" s="21"/>
    </row>
    <row r="91">
      <c r="A91" s="22">
        <v>1983.0</v>
      </c>
      <c r="B91" s="23" t="s">
        <v>310</v>
      </c>
      <c r="C91" s="23" t="s">
        <v>311</v>
      </c>
      <c r="D91" s="23" t="s">
        <v>312</v>
      </c>
      <c r="E91" s="24" t="s">
        <v>86</v>
      </c>
      <c r="F91" s="23" t="s">
        <v>141</v>
      </c>
      <c r="G91" s="23" t="s">
        <v>69</v>
      </c>
      <c r="H91" s="24" t="s">
        <v>226</v>
      </c>
      <c r="I91" s="25">
        <v>9.0</v>
      </c>
      <c r="J91" s="21"/>
      <c r="K91" s="21"/>
      <c r="L91" s="21"/>
    </row>
    <row r="92">
      <c r="A92" s="22">
        <v>1983.0</v>
      </c>
      <c r="B92" s="23" t="s">
        <v>313</v>
      </c>
      <c r="C92" s="23" t="s">
        <v>314</v>
      </c>
      <c r="D92" s="23" t="s">
        <v>315</v>
      </c>
      <c r="E92" s="24" t="s">
        <v>86</v>
      </c>
      <c r="F92" s="23" t="s">
        <v>68</v>
      </c>
      <c r="G92" s="23" t="s">
        <v>69</v>
      </c>
      <c r="H92" s="24" t="s">
        <v>226</v>
      </c>
      <c r="I92" s="25">
        <v>8.0</v>
      </c>
      <c r="J92" s="21"/>
      <c r="K92" s="21"/>
      <c r="L92" s="21"/>
    </row>
    <row r="93">
      <c r="A93" s="22">
        <v>1983.0</v>
      </c>
      <c r="B93" s="23" t="s">
        <v>316</v>
      </c>
      <c r="C93" s="23" t="s">
        <v>317</v>
      </c>
      <c r="D93" s="23" t="s">
        <v>318</v>
      </c>
      <c r="E93" s="24" t="s">
        <v>86</v>
      </c>
      <c r="F93" s="23" t="s">
        <v>172</v>
      </c>
      <c r="G93" s="23" t="s">
        <v>285</v>
      </c>
      <c r="H93" s="24" t="s">
        <v>226</v>
      </c>
      <c r="I93" s="25">
        <v>8.0</v>
      </c>
      <c r="J93" s="21"/>
      <c r="K93" s="21"/>
      <c r="L93" s="21"/>
    </row>
    <row r="94">
      <c r="A94" s="22">
        <v>1984.0</v>
      </c>
      <c r="B94" s="23" t="s">
        <v>319</v>
      </c>
      <c r="C94" s="23" t="s">
        <v>266</v>
      </c>
      <c r="D94" s="23" t="s">
        <v>320</v>
      </c>
      <c r="E94" s="24" t="s">
        <v>86</v>
      </c>
      <c r="F94" s="23" t="s">
        <v>172</v>
      </c>
      <c r="G94" s="23" t="s">
        <v>69</v>
      </c>
      <c r="H94" s="24" t="s">
        <v>226</v>
      </c>
      <c r="I94" s="25">
        <v>9.0</v>
      </c>
      <c r="J94" s="21"/>
      <c r="K94" s="21"/>
      <c r="L94" s="21"/>
    </row>
    <row r="95">
      <c r="A95" s="22">
        <v>1984.0</v>
      </c>
      <c r="B95" s="23" t="s">
        <v>321</v>
      </c>
      <c r="C95" s="23" t="s">
        <v>322</v>
      </c>
      <c r="D95" s="23" t="s">
        <v>323</v>
      </c>
      <c r="E95" s="24" t="s">
        <v>86</v>
      </c>
      <c r="F95" s="23" t="s">
        <v>148</v>
      </c>
      <c r="G95" s="23" t="s">
        <v>285</v>
      </c>
      <c r="H95" s="24" t="s">
        <v>226</v>
      </c>
      <c r="I95" s="25">
        <v>9.0</v>
      </c>
      <c r="J95" s="21"/>
      <c r="K95" s="21"/>
      <c r="L95" s="21"/>
    </row>
    <row r="96">
      <c r="A96" s="22">
        <v>1984.0</v>
      </c>
      <c r="B96" s="23" t="s">
        <v>324</v>
      </c>
      <c r="C96" s="23" t="s">
        <v>325</v>
      </c>
      <c r="D96" s="23" t="s">
        <v>326</v>
      </c>
      <c r="E96" s="24" t="s">
        <v>86</v>
      </c>
      <c r="F96" s="23" t="s">
        <v>176</v>
      </c>
      <c r="G96" s="23" t="s">
        <v>69</v>
      </c>
      <c r="H96" s="24" t="s">
        <v>226</v>
      </c>
      <c r="I96" s="25">
        <v>9.0</v>
      </c>
      <c r="J96" s="21"/>
      <c r="K96" s="21"/>
      <c r="L96" s="21"/>
    </row>
    <row r="97">
      <c r="A97" s="22">
        <v>1985.0</v>
      </c>
      <c r="B97" s="23" t="s">
        <v>327</v>
      </c>
      <c r="C97" s="23" t="s">
        <v>256</v>
      </c>
      <c r="D97" s="23" t="s">
        <v>328</v>
      </c>
      <c r="E97" s="24" t="s">
        <v>86</v>
      </c>
      <c r="F97" s="23" t="s">
        <v>141</v>
      </c>
      <c r="G97" s="23" t="s">
        <v>69</v>
      </c>
      <c r="H97" s="24" t="s">
        <v>226</v>
      </c>
      <c r="I97" s="25">
        <v>8.0</v>
      </c>
      <c r="J97" s="21"/>
      <c r="K97" s="21"/>
      <c r="L97" s="21"/>
    </row>
    <row r="98">
      <c r="A98" s="22">
        <v>1985.0</v>
      </c>
      <c r="B98" s="23" t="s">
        <v>329</v>
      </c>
      <c r="C98" s="23" t="s">
        <v>302</v>
      </c>
      <c r="D98" s="23" t="s">
        <v>330</v>
      </c>
      <c r="E98" s="24" t="s">
        <v>86</v>
      </c>
      <c r="F98" s="23" t="s">
        <v>148</v>
      </c>
      <c r="G98" s="23" t="s">
        <v>304</v>
      </c>
      <c r="H98" s="24" t="s">
        <v>226</v>
      </c>
      <c r="I98" s="25">
        <v>8.0</v>
      </c>
      <c r="J98" s="21"/>
      <c r="K98" s="21"/>
      <c r="L98" s="21"/>
    </row>
    <row r="99">
      <c r="A99" s="22">
        <v>1985.0</v>
      </c>
      <c r="B99" s="23" t="s">
        <v>331</v>
      </c>
      <c r="C99" s="23" t="s">
        <v>332</v>
      </c>
      <c r="D99" s="23" t="s">
        <v>333</v>
      </c>
      <c r="E99" s="24" t="s">
        <v>86</v>
      </c>
      <c r="F99" s="23" t="s">
        <v>148</v>
      </c>
      <c r="G99" s="23" t="s">
        <v>59</v>
      </c>
      <c r="H99" s="24" t="s">
        <v>226</v>
      </c>
      <c r="I99" s="25">
        <v>10.0</v>
      </c>
      <c r="J99" s="21"/>
      <c r="K99" s="21"/>
      <c r="L99" s="21"/>
    </row>
    <row r="100">
      <c r="A100" s="22">
        <v>1986.0</v>
      </c>
      <c r="B100" s="23" t="s">
        <v>334</v>
      </c>
      <c r="C100" s="23" t="s">
        <v>335</v>
      </c>
      <c r="D100" s="23" t="s">
        <v>336</v>
      </c>
      <c r="E100" s="24" t="s">
        <v>86</v>
      </c>
      <c r="F100" s="23" t="s">
        <v>141</v>
      </c>
      <c r="G100" s="23" t="s">
        <v>69</v>
      </c>
      <c r="H100" s="24" t="s">
        <v>226</v>
      </c>
      <c r="I100" s="25">
        <v>9.0</v>
      </c>
      <c r="J100" s="21"/>
      <c r="K100" s="21"/>
      <c r="L100" s="21"/>
    </row>
    <row r="101">
      <c r="A101" s="22">
        <v>1987.0</v>
      </c>
      <c r="B101" s="23" t="s">
        <v>337</v>
      </c>
      <c r="C101" s="23" t="s">
        <v>338</v>
      </c>
      <c r="D101" s="23" t="s">
        <v>339</v>
      </c>
      <c r="E101" s="24" t="s">
        <v>86</v>
      </c>
      <c r="F101" s="23" t="s">
        <v>141</v>
      </c>
      <c r="G101" s="23" t="s">
        <v>69</v>
      </c>
      <c r="H101" s="24" t="s">
        <v>226</v>
      </c>
      <c r="I101" s="25">
        <v>7.0</v>
      </c>
      <c r="J101" s="21"/>
      <c r="K101" s="21"/>
      <c r="L101" s="21"/>
    </row>
    <row r="102">
      <c r="A102" s="22">
        <v>1989.0</v>
      </c>
      <c r="B102" s="23" t="s">
        <v>340</v>
      </c>
      <c r="C102" s="23" t="s">
        <v>317</v>
      </c>
      <c r="D102" s="23" t="s">
        <v>341</v>
      </c>
      <c r="E102" s="24" t="s">
        <v>86</v>
      </c>
      <c r="F102" s="23" t="s">
        <v>172</v>
      </c>
      <c r="G102" s="23" t="s">
        <v>285</v>
      </c>
      <c r="H102" s="24" t="s">
        <v>226</v>
      </c>
      <c r="I102" s="25">
        <v>8.0</v>
      </c>
      <c r="J102" s="21"/>
      <c r="K102" s="21"/>
      <c r="L102" s="21"/>
    </row>
    <row r="103">
      <c r="A103" s="22">
        <v>1989.0</v>
      </c>
      <c r="B103" s="23" t="s">
        <v>342</v>
      </c>
      <c r="C103" s="23" t="s">
        <v>343</v>
      </c>
      <c r="D103" s="23" t="s">
        <v>344</v>
      </c>
      <c r="E103" s="24" t="s">
        <v>86</v>
      </c>
      <c r="F103" s="23" t="s">
        <v>345</v>
      </c>
      <c r="G103" s="23" t="s">
        <v>346</v>
      </c>
      <c r="H103" s="24" t="s">
        <v>226</v>
      </c>
      <c r="I103" s="25">
        <v>10.0</v>
      </c>
      <c r="J103" s="21"/>
      <c r="K103" s="21"/>
      <c r="L103" s="21"/>
    </row>
    <row r="104">
      <c r="A104" s="22">
        <v>1990.0</v>
      </c>
      <c r="B104" s="23" t="s">
        <v>347</v>
      </c>
      <c r="C104" s="23" t="s">
        <v>348</v>
      </c>
      <c r="D104" s="23" t="s">
        <v>349</v>
      </c>
      <c r="E104" s="24" t="s">
        <v>86</v>
      </c>
      <c r="F104" s="23" t="s">
        <v>141</v>
      </c>
      <c r="G104" s="23" t="s">
        <v>69</v>
      </c>
      <c r="H104" s="24" t="s">
        <v>226</v>
      </c>
      <c r="I104" s="25">
        <v>8.0</v>
      </c>
      <c r="J104" s="21"/>
      <c r="K104" s="21"/>
      <c r="L104" s="21"/>
    </row>
    <row r="105">
      <c r="A105" s="22">
        <v>1990.0</v>
      </c>
      <c r="B105" s="23" t="s">
        <v>350</v>
      </c>
      <c r="C105" s="23" t="s">
        <v>256</v>
      </c>
      <c r="D105" s="23" t="s">
        <v>351</v>
      </c>
      <c r="E105" s="24" t="s">
        <v>86</v>
      </c>
      <c r="F105" s="23" t="s">
        <v>141</v>
      </c>
      <c r="G105" s="23" t="s">
        <v>69</v>
      </c>
      <c r="H105" s="24" t="s">
        <v>226</v>
      </c>
      <c r="I105" s="25">
        <v>8.0</v>
      </c>
      <c r="J105" s="21"/>
      <c r="K105" s="21"/>
      <c r="L105" s="21"/>
    </row>
    <row r="106">
      <c r="A106" s="22">
        <v>1991.0</v>
      </c>
      <c r="B106" s="23" t="s">
        <v>352</v>
      </c>
      <c r="C106" s="23" t="s">
        <v>353</v>
      </c>
      <c r="D106" s="23" t="s">
        <v>354</v>
      </c>
      <c r="E106" s="24" t="s">
        <v>86</v>
      </c>
      <c r="F106" s="23" t="s">
        <v>141</v>
      </c>
      <c r="G106" s="23" t="s">
        <v>355</v>
      </c>
      <c r="H106" s="24" t="s">
        <v>226</v>
      </c>
      <c r="I106" s="25">
        <v>10.0</v>
      </c>
      <c r="J106" s="21"/>
      <c r="K106" s="21"/>
      <c r="L106" s="21"/>
    </row>
    <row r="107">
      <c r="A107" s="22">
        <v>1991.0</v>
      </c>
      <c r="B107" s="23" t="s">
        <v>356</v>
      </c>
      <c r="C107" s="23" t="s">
        <v>357</v>
      </c>
      <c r="D107" s="23" t="s">
        <v>358</v>
      </c>
      <c r="E107" s="24" t="s">
        <v>86</v>
      </c>
      <c r="F107" s="23" t="s">
        <v>141</v>
      </c>
      <c r="G107" s="23" t="s">
        <v>359</v>
      </c>
      <c r="H107" s="24" t="s">
        <v>226</v>
      </c>
      <c r="I107" s="25">
        <v>10.0</v>
      </c>
      <c r="J107" s="21"/>
      <c r="K107" s="21"/>
      <c r="L107" s="21"/>
    </row>
    <row r="108">
      <c r="A108" s="22">
        <v>1991.0</v>
      </c>
      <c r="B108" s="23" t="s">
        <v>360</v>
      </c>
      <c r="C108" s="23" t="s">
        <v>361</v>
      </c>
      <c r="D108" s="23" t="s">
        <v>362</v>
      </c>
      <c r="E108" s="24" t="s">
        <v>86</v>
      </c>
      <c r="F108" s="23" t="s">
        <v>68</v>
      </c>
      <c r="G108" s="23" t="s">
        <v>363</v>
      </c>
      <c r="H108" s="24" t="s">
        <v>226</v>
      </c>
      <c r="I108" s="25">
        <v>9.0</v>
      </c>
      <c r="J108" s="21"/>
      <c r="K108" s="21"/>
      <c r="L108" s="21"/>
    </row>
    <row r="109">
      <c r="A109" s="22">
        <v>1992.0</v>
      </c>
      <c r="B109" s="23" t="s">
        <v>364</v>
      </c>
      <c r="C109" s="23" t="s">
        <v>365</v>
      </c>
      <c r="D109" s="23" t="s">
        <v>366</v>
      </c>
      <c r="E109" s="24" t="s">
        <v>86</v>
      </c>
      <c r="F109" s="23" t="s">
        <v>68</v>
      </c>
      <c r="G109" s="23" t="s">
        <v>59</v>
      </c>
      <c r="H109" s="24" t="s">
        <v>226</v>
      </c>
      <c r="I109" s="25">
        <v>8.0</v>
      </c>
      <c r="J109" s="21"/>
      <c r="K109" s="21"/>
      <c r="L109" s="21"/>
    </row>
    <row r="110">
      <c r="A110" s="22">
        <v>1993.0</v>
      </c>
      <c r="B110" s="23" t="s">
        <v>367</v>
      </c>
      <c r="C110" s="23" t="s">
        <v>368</v>
      </c>
      <c r="D110" s="23" t="s">
        <v>369</v>
      </c>
      <c r="E110" s="24" t="s">
        <v>86</v>
      </c>
      <c r="F110" s="23" t="s">
        <v>141</v>
      </c>
      <c r="G110" s="23" t="s">
        <v>69</v>
      </c>
      <c r="H110" s="24" t="s">
        <v>226</v>
      </c>
      <c r="I110" s="25">
        <v>9.0</v>
      </c>
      <c r="J110" s="21"/>
      <c r="K110" s="21"/>
      <c r="L110" s="21"/>
    </row>
    <row r="111">
      <c r="A111" s="22">
        <v>1993.0</v>
      </c>
      <c r="B111" s="23" t="s">
        <v>370</v>
      </c>
      <c r="C111" s="23" t="s">
        <v>277</v>
      </c>
      <c r="D111" s="23" t="s">
        <v>371</v>
      </c>
      <c r="E111" s="24" t="s">
        <v>86</v>
      </c>
      <c r="F111" s="23" t="s">
        <v>148</v>
      </c>
      <c r="G111" s="23" t="s">
        <v>69</v>
      </c>
      <c r="H111" s="24" t="s">
        <v>226</v>
      </c>
      <c r="I111" s="25">
        <v>8.0</v>
      </c>
      <c r="J111" s="21"/>
      <c r="K111" s="21"/>
      <c r="L111" s="21"/>
    </row>
    <row r="112">
      <c r="A112" s="22">
        <v>1993.0</v>
      </c>
      <c r="B112" s="23" t="s">
        <v>372</v>
      </c>
      <c r="C112" s="23" t="s">
        <v>348</v>
      </c>
      <c r="D112" s="23" t="s">
        <v>373</v>
      </c>
      <c r="E112" s="24" t="s">
        <v>86</v>
      </c>
      <c r="F112" s="23" t="s">
        <v>141</v>
      </c>
      <c r="G112" s="23" t="s">
        <v>69</v>
      </c>
      <c r="H112" s="24" t="s">
        <v>226</v>
      </c>
      <c r="I112" s="25">
        <v>8.0</v>
      </c>
      <c r="J112" s="21"/>
      <c r="K112" s="21"/>
      <c r="L112" s="21"/>
    </row>
    <row r="113">
      <c r="A113" s="22">
        <v>1994.0</v>
      </c>
      <c r="B113" s="23" t="s">
        <v>374</v>
      </c>
      <c r="C113" s="23" t="s">
        <v>375</v>
      </c>
      <c r="D113" s="23" t="s">
        <v>376</v>
      </c>
      <c r="E113" s="24" t="s">
        <v>86</v>
      </c>
      <c r="F113" s="23" t="s">
        <v>141</v>
      </c>
      <c r="G113" s="23" t="s">
        <v>69</v>
      </c>
      <c r="H113" s="24" t="s">
        <v>226</v>
      </c>
      <c r="I113" s="25">
        <v>9.0</v>
      </c>
      <c r="J113" s="21"/>
      <c r="K113" s="21"/>
      <c r="L113" s="21"/>
    </row>
    <row r="114">
      <c r="A114" s="22">
        <v>1994.0</v>
      </c>
      <c r="B114" s="23" t="s">
        <v>377</v>
      </c>
      <c r="C114" s="23" t="s">
        <v>378</v>
      </c>
      <c r="D114" s="23" t="s">
        <v>379</v>
      </c>
      <c r="E114" s="24" t="s">
        <v>86</v>
      </c>
      <c r="F114" s="23" t="s">
        <v>345</v>
      </c>
      <c r="G114" s="23" t="s">
        <v>69</v>
      </c>
      <c r="H114" s="24" t="s">
        <v>226</v>
      </c>
      <c r="I114" s="25">
        <v>9.0</v>
      </c>
      <c r="J114" s="21"/>
      <c r="K114" s="21"/>
      <c r="L114" s="21"/>
    </row>
    <row r="115">
      <c r="A115" s="22">
        <v>1994.0</v>
      </c>
      <c r="B115" s="23" t="s">
        <v>380</v>
      </c>
      <c r="C115" s="23" t="s">
        <v>381</v>
      </c>
      <c r="D115" s="23" t="s">
        <v>382</v>
      </c>
      <c r="E115" s="24" t="s">
        <v>86</v>
      </c>
      <c r="F115" s="23" t="s">
        <v>141</v>
      </c>
      <c r="G115" s="23" t="s">
        <v>383</v>
      </c>
      <c r="H115" s="24" t="s">
        <v>226</v>
      </c>
      <c r="I115" s="25">
        <v>8.0</v>
      </c>
      <c r="J115" s="21"/>
      <c r="K115" s="21"/>
      <c r="L115" s="21"/>
    </row>
    <row r="116">
      <c r="A116" s="22">
        <v>1995.0</v>
      </c>
      <c r="B116" s="23" t="s">
        <v>384</v>
      </c>
      <c r="C116" s="23" t="s">
        <v>256</v>
      </c>
      <c r="D116" s="23" t="s">
        <v>385</v>
      </c>
      <c r="E116" s="24" t="s">
        <v>86</v>
      </c>
      <c r="F116" s="23" t="s">
        <v>141</v>
      </c>
      <c r="G116" s="23" t="s">
        <v>69</v>
      </c>
      <c r="H116" s="24" t="s">
        <v>226</v>
      </c>
      <c r="I116" s="25">
        <v>9.0</v>
      </c>
      <c r="J116" s="21"/>
      <c r="K116" s="21"/>
      <c r="L116" s="21"/>
    </row>
    <row r="117">
      <c r="A117" s="22">
        <v>1995.0</v>
      </c>
      <c r="B117" s="23" t="s">
        <v>386</v>
      </c>
      <c r="C117" s="23" t="s">
        <v>387</v>
      </c>
      <c r="D117" s="23" t="s">
        <v>388</v>
      </c>
      <c r="E117" s="24" t="s">
        <v>86</v>
      </c>
      <c r="F117" s="23" t="s">
        <v>141</v>
      </c>
      <c r="G117" s="23" t="s">
        <v>69</v>
      </c>
      <c r="H117" s="24" t="s">
        <v>226</v>
      </c>
      <c r="I117" s="25">
        <v>9.0</v>
      </c>
      <c r="J117" s="21"/>
      <c r="K117" s="21"/>
      <c r="L117" s="21"/>
    </row>
    <row r="118">
      <c r="A118" s="22">
        <v>1995.0</v>
      </c>
      <c r="B118" s="23" t="s">
        <v>389</v>
      </c>
      <c r="C118" s="23" t="s">
        <v>390</v>
      </c>
      <c r="D118" s="23" t="s">
        <v>391</v>
      </c>
      <c r="E118" s="24" t="s">
        <v>86</v>
      </c>
      <c r="F118" s="23" t="s">
        <v>148</v>
      </c>
      <c r="G118" s="23" t="s">
        <v>285</v>
      </c>
      <c r="H118" s="24" t="s">
        <v>226</v>
      </c>
      <c r="I118" s="25">
        <v>7.0</v>
      </c>
      <c r="J118" s="21"/>
      <c r="K118" s="21"/>
      <c r="L118" s="21"/>
    </row>
    <row r="119">
      <c r="A119" s="22">
        <v>1995.0</v>
      </c>
      <c r="B119" s="23" t="s">
        <v>392</v>
      </c>
      <c r="C119" s="23" t="s">
        <v>393</v>
      </c>
      <c r="D119" s="23" t="s">
        <v>394</v>
      </c>
      <c r="E119" s="24" t="s">
        <v>86</v>
      </c>
      <c r="F119" s="23" t="s">
        <v>345</v>
      </c>
      <c r="G119" s="23" t="s">
        <v>69</v>
      </c>
      <c r="H119" s="24" t="s">
        <v>226</v>
      </c>
      <c r="I119" s="25">
        <v>8.0</v>
      </c>
      <c r="J119" s="21"/>
      <c r="K119" s="21"/>
      <c r="L119" s="21"/>
    </row>
    <row r="120">
      <c r="A120" s="22">
        <v>1996.0</v>
      </c>
      <c r="B120" s="23" t="s">
        <v>395</v>
      </c>
      <c r="C120" s="23" t="s">
        <v>396</v>
      </c>
      <c r="D120" s="23" t="s">
        <v>397</v>
      </c>
      <c r="E120" s="24" t="s">
        <v>86</v>
      </c>
      <c r="F120" s="23" t="s">
        <v>345</v>
      </c>
      <c r="G120" s="23" t="s">
        <v>69</v>
      </c>
      <c r="H120" s="24" t="s">
        <v>226</v>
      </c>
      <c r="I120" s="25">
        <v>8.0</v>
      </c>
      <c r="J120" s="21"/>
      <c r="K120" s="21"/>
      <c r="L120" s="21"/>
    </row>
    <row r="121">
      <c r="A121" s="22">
        <v>1996.0</v>
      </c>
      <c r="B121" s="23" t="s">
        <v>398</v>
      </c>
      <c r="C121" s="23" t="s">
        <v>143</v>
      </c>
      <c r="D121" s="23" t="s">
        <v>399</v>
      </c>
      <c r="E121" s="24" t="s">
        <v>86</v>
      </c>
      <c r="F121" s="23" t="s">
        <v>132</v>
      </c>
      <c r="G121" s="23" t="s">
        <v>69</v>
      </c>
      <c r="H121" s="24" t="s">
        <v>226</v>
      </c>
      <c r="I121" s="25">
        <v>8.0</v>
      </c>
      <c r="J121" s="21"/>
      <c r="K121" s="21"/>
      <c r="L121" s="21"/>
    </row>
    <row r="122">
      <c r="A122" s="22">
        <v>1996.0</v>
      </c>
      <c r="B122" s="23" t="s">
        <v>400</v>
      </c>
      <c r="C122" s="23" t="s">
        <v>401</v>
      </c>
      <c r="D122" s="23" t="s">
        <v>402</v>
      </c>
      <c r="E122" s="24" t="s">
        <v>86</v>
      </c>
      <c r="F122" s="23" t="s">
        <v>148</v>
      </c>
      <c r="G122" s="23" t="s">
        <v>69</v>
      </c>
      <c r="H122" s="24" t="s">
        <v>226</v>
      </c>
      <c r="I122" s="25">
        <v>9.0</v>
      </c>
      <c r="J122" s="21"/>
      <c r="K122" s="21"/>
      <c r="L122" s="21"/>
    </row>
    <row r="123">
      <c r="A123" s="22">
        <v>1997.0</v>
      </c>
      <c r="B123" s="23" t="s">
        <v>403</v>
      </c>
      <c r="C123" s="23" t="s">
        <v>404</v>
      </c>
      <c r="D123" s="23" t="s">
        <v>405</v>
      </c>
      <c r="E123" s="24" t="s">
        <v>86</v>
      </c>
      <c r="F123" s="23" t="s">
        <v>176</v>
      </c>
      <c r="G123" s="23" t="s">
        <v>406</v>
      </c>
      <c r="H123" s="24" t="s">
        <v>226</v>
      </c>
      <c r="I123" s="25">
        <v>10.0</v>
      </c>
      <c r="J123" s="21"/>
      <c r="K123" s="21"/>
      <c r="L123" s="21"/>
    </row>
    <row r="124">
      <c r="A124" s="22">
        <v>1997.0</v>
      </c>
      <c r="B124" s="23" t="s">
        <v>407</v>
      </c>
      <c r="C124" s="23" t="s">
        <v>408</v>
      </c>
      <c r="D124" s="23" t="s">
        <v>409</v>
      </c>
      <c r="E124" s="24" t="s">
        <v>86</v>
      </c>
      <c r="F124" s="23" t="s">
        <v>345</v>
      </c>
      <c r="G124" s="23" t="s">
        <v>69</v>
      </c>
      <c r="H124" s="24" t="s">
        <v>226</v>
      </c>
      <c r="I124" s="25">
        <v>10.0</v>
      </c>
      <c r="J124" s="21"/>
      <c r="K124" s="21"/>
      <c r="L124" s="21"/>
    </row>
    <row r="125">
      <c r="A125" s="22">
        <v>1998.0</v>
      </c>
      <c r="B125" s="23" t="s">
        <v>410</v>
      </c>
      <c r="C125" s="23" t="s">
        <v>266</v>
      </c>
      <c r="D125" s="23" t="s">
        <v>411</v>
      </c>
      <c r="E125" s="24" t="s">
        <v>86</v>
      </c>
      <c r="F125" s="23" t="s">
        <v>172</v>
      </c>
      <c r="G125" s="23" t="s">
        <v>69</v>
      </c>
      <c r="H125" s="24" t="s">
        <v>226</v>
      </c>
      <c r="I125" s="25">
        <v>7.0</v>
      </c>
      <c r="J125" s="21"/>
      <c r="K125" s="21"/>
      <c r="L125" s="21"/>
    </row>
    <row r="126">
      <c r="A126" s="22">
        <v>1998.0</v>
      </c>
      <c r="B126" s="23" t="s">
        <v>412</v>
      </c>
      <c r="C126" s="23" t="s">
        <v>375</v>
      </c>
      <c r="D126" s="23" t="s">
        <v>413</v>
      </c>
      <c r="E126" s="24" t="s">
        <v>86</v>
      </c>
      <c r="F126" s="23" t="s">
        <v>141</v>
      </c>
      <c r="G126" s="23" t="s">
        <v>69</v>
      </c>
      <c r="H126" s="24" t="s">
        <v>226</v>
      </c>
      <c r="I126" s="25">
        <v>8.0</v>
      </c>
      <c r="J126" s="21"/>
      <c r="K126" s="21"/>
      <c r="L126" s="21"/>
    </row>
    <row r="127">
      <c r="A127" s="22">
        <v>1999.0</v>
      </c>
      <c r="B127" s="23" t="s">
        <v>414</v>
      </c>
      <c r="C127" s="23" t="s">
        <v>415</v>
      </c>
      <c r="D127" s="23" t="s">
        <v>416</v>
      </c>
      <c r="E127" s="24" t="s">
        <v>86</v>
      </c>
      <c r="F127" s="23" t="s">
        <v>148</v>
      </c>
      <c r="G127" s="23" t="s">
        <v>69</v>
      </c>
      <c r="H127" s="24" t="s">
        <v>226</v>
      </c>
      <c r="I127" s="25">
        <v>9.0</v>
      </c>
      <c r="J127" s="21"/>
      <c r="K127" s="21"/>
      <c r="L127" s="21"/>
    </row>
    <row r="128">
      <c r="A128" s="22">
        <v>1999.0</v>
      </c>
      <c r="B128" s="23" t="s">
        <v>417</v>
      </c>
      <c r="C128" s="23" t="s">
        <v>418</v>
      </c>
      <c r="D128" s="23" t="s">
        <v>419</v>
      </c>
      <c r="E128" s="24" t="s">
        <v>86</v>
      </c>
      <c r="F128" s="23" t="s">
        <v>141</v>
      </c>
      <c r="G128" s="23" t="s">
        <v>69</v>
      </c>
      <c r="H128" s="24" t="s">
        <v>226</v>
      </c>
      <c r="I128" s="25">
        <v>8.0</v>
      </c>
      <c r="J128" s="21"/>
      <c r="K128" s="21"/>
      <c r="L128" s="21"/>
    </row>
    <row r="129">
      <c r="A129" s="22">
        <v>1999.0</v>
      </c>
      <c r="B129" s="23" t="s">
        <v>420</v>
      </c>
      <c r="C129" s="23" t="s">
        <v>421</v>
      </c>
      <c r="D129" s="23" t="s">
        <v>422</v>
      </c>
      <c r="E129" s="24" t="s">
        <v>86</v>
      </c>
      <c r="F129" s="23" t="s">
        <v>176</v>
      </c>
      <c r="G129" s="23" t="s">
        <v>423</v>
      </c>
      <c r="H129" s="24" t="s">
        <v>226</v>
      </c>
      <c r="I129" s="25">
        <v>8.0</v>
      </c>
      <c r="J129" s="21"/>
      <c r="K129" s="21"/>
      <c r="L129" s="21"/>
    </row>
    <row r="130">
      <c r="A130" s="22">
        <v>2000.0</v>
      </c>
      <c r="B130" s="23" t="s">
        <v>424</v>
      </c>
      <c r="C130" s="23" t="s">
        <v>283</v>
      </c>
      <c r="D130" s="23" t="s">
        <v>425</v>
      </c>
      <c r="E130" s="24" t="s">
        <v>426</v>
      </c>
      <c r="F130" s="23" t="s">
        <v>172</v>
      </c>
      <c r="G130" s="23" t="s">
        <v>285</v>
      </c>
      <c r="H130" s="24" t="s">
        <v>226</v>
      </c>
      <c r="I130" s="25">
        <v>8.0</v>
      </c>
      <c r="J130" s="21"/>
      <c r="K130" s="21"/>
      <c r="L130" s="21"/>
    </row>
    <row r="131">
      <c r="A131" s="22">
        <v>2000.0</v>
      </c>
      <c r="B131" s="23" t="s">
        <v>427</v>
      </c>
      <c r="C131" s="23" t="s">
        <v>428</v>
      </c>
      <c r="D131" s="23" t="s">
        <v>429</v>
      </c>
      <c r="E131" s="24" t="s">
        <v>426</v>
      </c>
      <c r="F131" s="23" t="s">
        <v>148</v>
      </c>
      <c r="G131" s="23" t="s">
        <v>430</v>
      </c>
      <c r="H131" s="24" t="s">
        <v>226</v>
      </c>
      <c r="I131" s="25">
        <v>8.0</v>
      </c>
      <c r="J131" s="21"/>
      <c r="K131" s="21"/>
      <c r="L131" s="21"/>
    </row>
    <row r="132">
      <c r="A132" s="22">
        <v>2000.0</v>
      </c>
      <c r="B132" s="23" t="s">
        <v>431</v>
      </c>
      <c r="C132" s="23" t="s">
        <v>256</v>
      </c>
      <c r="D132" s="23" t="s">
        <v>432</v>
      </c>
      <c r="E132" s="24" t="s">
        <v>426</v>
      </c>
      <c r="F132" s="23" t="s">
        <v>141</v>
      </c>
      <c r="G132" s="23" t="s">
        <v>69</v>
      </c>
      <c r="H132" s="24" t="s">
        <v>226</v>
      </c>
      <c r="I132" s="25">
        <v>8.0</v>
      </c>
      <c r="J132" s="21"/>
      <c r="K132" s="21"/>
      <c r="L132" s="21"/>
    </row>
    <row r="133">
      <c r="A133" s="22">
        <v>2001.0</v>
      </c>
      <c r="B133" s="23" t="s">
        <v>433</v>
      </c>
      <c r="C133" s="23" t="s">
        <v>434</v>
      </c>
      <c r="D133" s="23" t="s">
        <v>435</v>
      </c>
      <c r="E133" s="24" t="s">
        <v>426</v>
      </c>
      <c r="F133" s="23" t="s">
        <v>345</v>
      </c>
      <c r="G133" s="23" t="s">
        <v>69</v>
      </c>
      <c r="H133" s="24" t="s">
        <v>436</v>
      </c>
      <c r="I133" s="25">
        <v>9.0</v>
      </c>
      <c r="J133" s="21"/>
      <c r="K133" s="21"/>
      <c r="L133" s="21"/>
    </row>
    <row r="134">
      <c r="A134" s="22">
        <v>2001.0</v>
      </c>
      <c r="B134" s="23" t="s">
        <v>437</v>
      </c>
      <c r="C134" s="23" t="s">
        <v>266</v>
      </c>
      <c r="D134" s="23" t="s">
        <v>438</v>
      </c>
      <c r="E134" s="24" t="s">
        <v>426</v>
      </c>
      <c r="F134" s="23" t="s">
        <v>141</v>
      </c>
      <c r="G134" s="23" t="s">
        <v>69</v>
      </c>
      <c r="H134" s="24" t="s">
        <v>226</v>
      </c>
      <c r="I134" s="25">
        <v>8.0</v>
      </c>
      <c r="J134" s="21"/>
      <c r="K134" s="21"/>
      <c r="L134" s="21"/>
    </row>
    <row r="135">
      <c r="A135" s="22">
        <v>2001.0</v>
      </c>
      <c r="B135" s="23" t="s">
        <v>439</v>
      </c>
      <c r="C135" s="23" t="s">
        <v>266</v>
      </c>
      <c r="D135" s="23" t="s">
        <v>440</v>
      </c>
      <c r="E135" s="24" t="s">
        <v>426</v>
      </c>
      <c r="F135" s="23" t="s">
        <v>172</v>
      </c>
      <c r="G135" s="23" t="s">
        <v>69</v>
      </c>
      <c r="H135" s="24" t="s">
        <v>436</v>
      </c>
      <c r="I135" s="25">
        <v>9.0</v>
      </c>
      <c r="J135" s="21"/>
      <c r="K135" s="21"/>
      <c r="L135" s="21"/>
    </row>
    <row r="136">
      <c r="A136" s="22">
        <v>2001.0</v>
      </c>
      <c r="B136" s="23" t="s">
        <v>441</v>
      </c>
      <c r="C136" s="23" t="s">
        <v>256</v>
      </c>
      <c r="D136" s="23" t="s">
        <v>442</v>
      </c>
      <c r="E136" s="24" t="s">
        <v>426</v>
      </c>
      <c r="F136" s="23" t="s">
        <v>141</v>
      </c>
      <c r="G136" s="23" t="s">
        <v>69</v>
      </c>
      <c r="H136" s="24" t="s">
        <v>226</v>
      </c>
      <c r="I136" s="25">
        <v>8.0</v>
      </c>
      <c r="J136" s="21"/>
      <c r="K136" s="21"/>
      <c r="L136" s="21"/>
    </row>
    <row r="137">
      <c r="A137" s="22">
        <v>2003.0</v>
      </c>
      <c r="B137" s="23" t="s">
        <v>443</v>
      </c>
      <c r="C137" s="23" t="s">
        <v>444</v>
      </c>
      <c r="D137" s="23" t="s">
        <v>445</v>
      </c>
      <c r="E137" s="24" t="s">
        <v>426</v>
      </c>
      <c r="F137" s="23" t="s">
        <v>141</v>
      </c>
      <c r="G137" s="23" t="s">
        <v>446</v>
      </c>
      <c r="H137" s="24" t="s">
        <v>436</v>
      </c>
      <c r="I137" s="25">
        <v>8.0</v>
      </c>
      <c r="J137" s="21"/>
      <c r="K137" s="21"/>
      <c r="L137" s="21"/>
    </row>
    <row r="138">
      <c r="A138" s="22">
        <v>2003.0</v>
      </c>
      <c r="B138" s="23" t="s">
        <v>447</v>
      </c>
      <c r="C138" s="23" t="s">
        <v>448</v>
      </c>
      <c r="D138" s="23" t="s">
        <v>449</v>
      </c>
      <c r="E138" s="24" t="s">
        <v>426</v>
      </c>
      <c r="F138" s="23" t="s">
        <v>141</v>
      </c>
      <c r="G138" s="23" t="s">
        <v>69</v>
      </c>
      <c r="H138" s="24" t="s">
        <v>436</v>
      </c>
      <c r="I138" s="25">
        <v>8.0</v>
      </c>
      <c r="J138" s="21"/>
      <c r="K138" s="21"/>
      <c r="L138" s="21"/>
    </row>
    <row r="139">
      <c r="A139" s="22">
        <v>2004.0</v>
      </c>
      <c r="B139" s="23" t="s">
        <v>450</v>
      </c>
      <c r="C139" s="23" t="s">
        <v>451</v>
      </c>
      <c r="D139" s="23" t="s">
        <v>452</v>
      </c>
      <c r="E139" s="24" t="s">
        <v>426</v>
      </c>
      <c r="F139" s="23" t="s">
        <v>345</v>
      </c>
      <c r="G139" s="23" t="s">
        <v>69</v>
      </c>
      <c r="H139" s="24" t="s">
        <v>436</v>
      </c>
      <c r="I139" s="25">
        <v>10.0</v>
      </c>
      <c r="J139" s="21"/>
      <c r="K139" s="21"/>
      <c r="L139" s="21"/>
    </row>
    <row r="140">
      <c r="A140" s="22">
        <v>2004.0</v>
      </c>
      <c r="B140" s="23" t="s">
        <v>453</v>
      </c>
      <c r="C140" s="23" t="s">
        <v>412</v>
      </c>
      <c r="D140" s="23" t="s">
        <v>454</v>
      </c>
      <c r="E140" s="24" t="s">
        <v>426</v>
      </c>
      <c r="F140" s="23" t="s">
        <v>141</v>
      </c>
      <c r="G140" s="23" t="s">
        <v>69</v>
      </c>
      <c r="H140" s="24" t="s">
        <v>436</v>
      </c>
      <c r="I140" s="25">
        <v>8.0</v>
      </c>
      <c r="J140" s="21"/>
      <c r="K140" s="21"/>
      <c r="L140" s="21"/>
    </row>
    <row r="141">
      <c r="A141" s="22">
        <v>2004.0</v>
      </c>
      <c r="B141" s="23" t="s">
        <v>455</v>
      </c>
      <c r="C141" s="23" t="s">
        <v>456</v>
      </c>
      <c r="D141" s="23" t="s">
        <v>457</v>
      </c>
      <c r="E141" s="24" t="s">
        <v>426</v>
      </c>
      <c r="F141" s="23" t="s">
        <v>141</v>
      </c>
      <c r="G141" s="23" t="s">
        <v>458</v>
      </c>
      <c r="H141" s="24" t="s">
        <v>436</v>
      </c>
      <c r="I141" s="25">
        <v>7.0</v>
      </c>
      <c r="J141" s="21"/>
      <c r="K141" s="21"/>
      <c r="L141" s="21"/>
    </row>
    <row r="142">
      <c r="A142" s="22">
        <v>2005.0</v>
      </c>
      <c r="B142" s="23" t="s">
        <v>459</v>
      </c>
      <c r="C142" s="23" t="s">
        <v>460</v>
      </c>
      <c r="D142" s="23" t="s">
        <v>461</v>
      </c>
      <c r="E142" s="24" t="s">
        <v>426</v>
      </c>
      <c r="F142" s="23" t="s">
        <v>345</v>
      </c>
      <c r="G142" s="23" t="s">
        <v>69</v>
      </c>
      <c r="H142" s="24" t="s">
        <v>436</v>
      </c>
      <c r="I142" s="25">
        <v>10.0</v>
      </c>
      <c r="J142" s="21"/>
      <c r="K142" s="21"/>
      <c r="L142" s="21"/>
    </row>
    <row r="143">
      <c r="A143" s="22">
        <v>2005.0</v>
      </c>
      <c r="B143" s="23" t="s">
        <v>462</v>
      </c>
      <c r="C143" s="23" t="s">
        <v>463</v>
      </c>
      <c r="D143" s="23" t="s">
        <v>464</v>
      </c>
      <c r="E143" s="24" t="s">
        <v>426</v>
      </c>
      <c r="F143" s="23" t="s">
        <v>141</v>
      </c>
      <c r="G143" s="23" t="s">
        <v>69</v>
      </c>
      <c r="H143" s="24" t="s">
        <v>436</v>
      </c>
      <c r="I143" s="25">
        <v>9.0</v>
      </c>
      <c r="J143" s="21"/>
      <c r="K143" s="21"/>
      <c r="L143" s="21"/>
    </row>
    <row r="144">
      <c r="A144" s="22">
        <v>2005.0</v>
      </c>
      <c r="B144" s="23" t="s">
        <v>465</v>
      </c>
      <c r="C144" s="23" t="s">
        <v>353</v>
      </c>
      <c r="D144" s="23" t="s">
        <v>466</v>
      </c>
      <c r="E144" s="24" t="s">
        <v>426</v>
      </c>
      <c r="F144" s="23" t="s">
        <v>141</v>
      </c>
      <c r="G144" s="23" t="s">
        <v>406</v>
      </c>
      <c r="H144" s="24" t="s">
        <v>436</v>
      </c>
      <c r="I144" s="25">
        <v>9.0</v>
      </c>
      <c r="J144" s="21"/>
      <c r="K144" s="21"/>
      <c r="L144" s="21"/>
    </row>
    <row r="145">
      <c r="A145" s="22">
        <v>2006.0</v>
      </c>
      <c r="B145" s="23" t="s">
        <v>467</v>
      </c>
      <c r="C145" s="23" t="s">
        <v>377</v>
      </c>
      <c r="D145" s="23" t="s">
        <v>468</v>
      </c>
      <c r="E145" s="24" t="s">
        <v>426</v>
      </c>
      <c r="F145" s="23" t="s">
        <v>176</v>
      </c>
      <c r="G145" s="23" t="s">
        <v>69</v>
      </c>
      <c r="H145" s="24" t="s">
        <v>436</v>
      </c>
      <c r="I145" s="25">
        <v>10.0</v>
      </c>
      <c r="J145" s="21"/>
      <c r="K145" s="21"/>
      <c r="L145" s="21"/>
    </row>
    <row r="146">
      <c r="A146" s="22">
        <v>2006.0</v>
      </c>
      <c r="B146" s="23" t="s">
        <v>469</v>
      </c>
      <c r="C146" s="23" t="s">
        <v>470</v>
      </c>
      <c r="D146" s="23" t="s">
        <v>471</v>
      </c>
      <c r="E146" s="24" t="s">
        <v>426</v>
      </c>
      <c r="F146" s="23" t="s">
        <v>345</v>
      </c>
      <c r="G146" s="23" t="s">
        <v>69</v>
      </c>
      <c r="H146" s="24" t="s">
        <v>436</v>
      </c>
      <c r="I146" s="25">
        <v>8.0</v>
      </c>
      <c r="J146" s="21"/>
      <c r="K146" s="21"/>
      <c r="L146" s="21"/>
    </row>
    <row r="147">
      <c r="A147" s="22">
        <v>2007.0</v>
      </c>
      <c r="B147" s="23" t="s">
        <v>472</v>
      </c>
      <c r="C147" s="23" t="s">
        <v>266</v>
      </c>
      <c r="D147" s="23" t="s">
        <v>473</v>
      </c>
      <c r="E147" s="24" t="s">
        <v>426</v>
      </c>
      <c r="F147" s="23" t="s">
        <v>172</v>
      </c>
      <c r="G147" s="23" t="s">
        <v>69</v>
      </c>
      <c r="H147" s="24" t="s">
        <v>436</v>
      </c>
      <c r="I147" s="25">
        <v>10.0</v>
      </c>
      <c r="J147" s="21"/>
      <c r="K147" s="21"/>
      <c r="L147" s="21"/>
    </row>
    <row r="148">
      <c r="A148" s="22">
        <v>2007.0</v>
      </c>
      <c r="B148" s="23" t="s">
        <v>474</v>
      </c>
      <c r="C148" s="23" t="s">
        <v>377</v>
      </c>
      <c r="D148" s="23" t="s">
        <v>475</v>
      </c>
      <c r="E148" s="24" t="s">
        <v>426</v>
      </c>
      <c r="F148" s="23" t="s">
        <v>172</v>
      </c>
      <c r="G148" s="23" t="s">
        <v>69</v>
      </c>
      <c r="H148" s="24" t="s">
        <v>436</v>
      </c>
      <c r="I148" s="25">
        <v>8.0</v>
      </c>
      <c r="J148" s="21"/>
      <c r="K148" s="21"/>
      <c r="L148" s="21"/>
    </row>
    <row r="149">
      <c r="A149" s="22">
        <v>2008.0</v>
      </c>
      <c r="B149" s="23" t="s">
        <v>476</v>
      </c>
      <c r="C149" s="23" t="s">
        <v>463</v>
      </c>
      <c r="D149" s="23" t="s">
        <v>477</v>
      </c>
      <c r="E149" s="24" t="s">
        <v>426</v>
      </c>
      <c r="F149" s="23" t="s">
        <v>141</v>
      </c>
      <c r="G149" s="23" t="s">
        <v>69</v>
      </c>
      <c r="H149" s="24" t="s">
        <v>436</v>
      </c>
      <c r="I149" s="25">
        <v>10.0</v>
      </c>
      <c r="J149" s="21"/>
      <c r="K149" s="21"/>
      <c r="L149" s="21"/>
    </row>
    <row r="150">
      <c r="A150" s="22">
        <v>2008.0</v>
      </c>
      <c r="B150" s="23" t="s">
        <v>478</v>
      </c>
      <c r="C150" s="23" t="s">
        <v>266</v>
      </c>
      <c r="D150" s="23" t="s">
        <v>479</v>
      </c>
      <c r="E150" s="24" t="s">
        <v>426</v>
      </c>
      <c r="F150" s="23" t="s">
        <v>141</v>
      </c>
      <c r="G150" s="23" t="s">
        <v>69</v>
      </c>
      <c r="H150" s="24" t="s">
        <v>436</v>
      </c>
      <c r="I150" s="25">
        <v>9.0</v>
      </c>
      <c r="J150" s="21"/>
      <c r="K150" s="21"/>
      <c r="L150" s="21"/>
    </row>
    <row r="151">
      <c r="A151" s="22">
        <v>2008.0</v>
      </c>
      <c r="B151" s="23" t="s">
        <v>480</v>
      </c>
      <c r="C151" s="23" t="s">
        <v>481</v>
      </c>
      <c r="D151" s="23" t="s">
        <v>482</v>
      </c>
      <c r="E151" s="24" t="s">
        <v>426</v>
      </c>
      <c r="F151" s="23" t="s">
        <v>34</v>
      </c>
      <c r="G151" s="23" t="s">
        <v>406</v>
      </c>
      <c r="H151" s="24" t="s">
        <v>436</v>
      </c>
      <c r="I151" s="25">
        <v>9.0</v>
      </c>
      <c r="J151" s="21"/>
      <c r="K151" s="21"/>
      <c r="L151" s="21"/>
    </row>
    <row r="152">
      <c r="A152" s="22">
        <v>2008.0</v>
      </c>
      <c r="B152" s="23" t="s">
        <v>483</v>
      </c>
      <c r="C152" s="23" t="s">
        <v>484</v>
      </c>
      <c r="D152" s="23" t="s">
        <v>485</v>
      </c>
      <c r="E152" s="24" t="s">
        <v>426</v>
      </c>
      <c r="F152" s="23" t="s">
        <v>141</v>
      </c>
      <c r="G152" s="23" t="s">
        <v>423</v>
      </c>
      <c r="H152" s="24" t="s">
        <v>436</v>
      </c>
      <c r="I152" s="25">
        <v>9.0</v>
      </c>
      <c r="J152" s="21"/>
      <c r="K152" s="21"/>
      <c r="L152" s="21"/>
    </row>
    <row r="153">
      <c r="A153" s="22">
        <v>2008.0</v>
      </c>
      <c r="B153" s="23" t="s">
        <v>486</v>
      </c>
      <c r="C153" s="23" t="s">
        <v>463</v>
      </c>
      <c r="D153" s="23" t="s">
        <v>487</v>
      </c>
      <c r="E153" s="24" t="s">
        <v>426</v>
      </c>
      <c r="F153" s="23" t="s">
        <v>141</v>
      </c>
      <c r="G153" s="23" t="s">
        <v>69</v>
      </c>
      <c r="H153" s="24" t="s">
        <v>436</v>
      </c>
      <c r="I153" s="25">
        <v>9.0</v>
      </c>
      <c r="J153" s="21"/>
      <c r="K153" s="21"/>
      <c r="L153" s="21"/>
    </row>
    <row r="154">
      <c r="A154" s="22">
        <v>2009.0</v>
      </c>
      <c r="B154" s="23" t="s">
        <v>488</v>
      </c>
      <c r="C154" s="23" t="s">
        <v>489</v>
      </c>
      <c r="D154" s="23" t="s">
        <v>490</v>
      </c>
      <c r="E154" s="24" t="s">
        <v>426</v>
      </c>
      <c r="F154" s="23" t="s">
        <v>141</v>
      </c>
      <c r="G154" s="23" t="s">
        <v>69</v>
      </c>
      <c r="H154" s="24" t="s">
        <v>436</v>
      </c>
      <c r="I154" s="25">
        <v>8.0</v>
      </c>
      <c r="J154" s="21"/>
      <c r="K154" s="21"/>
      <c r="L154" s="21"/>
    </row>
    <row r="155">
      <c r="A155" s="22">
        <v>2009.0</v>
      </c>
      <c r="B155" s="23" t="s">
        <v>491</v>
      </c>
      <c r="C155" s="23" t="s">
        <v>492</v>
      </c>
      <c r="D155" s="23" t="s">
        <v>493</v>
      </c>
      <c r="E155" s="24" t="s">
        <v>426</v>
      </c>
      <c r="F155" s="23" t="s">
        <v>141</v>
      </c>
      <c r="G155" s="23" t="s">
        <v>69</v>
      </c>
      <c r="H155" s="24" t="s">
        <v>436</v>
      </c>
      <c r="I155" s="25">
        <v>9.0</v>
      </c>
      <c r="J155" s="21"/>
      <c r="K155" s="21"/>
      <c r="L155" s="21"/>
    </row>
    <row r="156">
      <c r="A156" s="22">
        <v>2010.0</v>
      </c>
      <c r="B156" s="23" t="s">
        <v>494</v>
      </c>
      <c r="C156" s="23" t="s">
        <v>266</v>
      </c>
      <c r="D156" s="23" t="s">
        <v>495</v>
      </c>
      <c r="E156" s="24" t="s">
        <v>426</v>
      </c>
      <c r="F156" s="23" t="s">
        <v>172</v>
      </c>
      <c r="G156" s="23" t="s">
        <v>69</v>
      </c>
      <c r="H156" s="24" t="s">
        <v>436</v>
      </c>
      <c r="I156" s="25">
        <v>8.0</v>
      </c>
      <c r="J156" s="21"/>
      <c r="K156" s="21"/>
      <c r="L156" s="21"/>
    </row>
    <row r="157">
      <c r="A157" s="22">
        <v>2010.0</v>
      </c>
      <c r="B157" s="23" t="s">
        <v>496</v>
      </c>
      <c r="C157" s="23" t="s">
        <v>497</v>
      </c>
      <c r="D157" s="23" t="s">
        <v>498</v>
      </c>
      <c r="E157" s="24" t="s">
        <v>426</v>
      </c>
      <c r="F157" s="23" t="s">
        <v>141</v>
      </c>
      <c r="G157" s="23" t="s">
        <v>69</v>
      </c>
      <c r="H157" s="24" t="s">
        <v>436</v>
      </c>
      <c r="I157" s="25">
        <v>9.0</v>
      </c>
      <c r="J157" s="21"/>
      <c r="K157" s="21"/>
      <c r="L157" s="21"/>
    </row>
    <row r="158">
      <c r="A158" s="22">
        <v>2010.0</v>
      </c>
      <c r="B158" s="23" t="s">
        <v>499</v>
      </c>
      <c r="C158" s="23" t="s">
        <v>266</v>
      </c>
      <c r="D158" s="23" t="s">
        <v>500</v>
      </c>
      <c r="E158" s="24" t="s">
        <v>426</v>
      </c>
      <c r="F158" s="23" t="s">
        <v>132</v>
      </c>
      <c r="G158" s="23" t="s">
        <v>69</v>
      </c>
      <c r="H158" s="24" t="s">
        <v>436</v>
      </c>
      <c r="I158" s="25">
        <v>7.0</v>
      </c>
      <c r="J158" s="21"/>
      <c r="K158" s="21"/>
      <c r="L158" s="21"/>
    </row>
    <row r="159">
      <c r="A159" s="22">
        <v>2011.0</v>
      </c>
      <c r="B159" s="23" t="s">
        <v>501</v>
      </c>
      <c r="C159" s="23" t="s">
        <v>502</v>
      </c>
      <c r="D159" s="23" t="s">
        <v>503</v>
      </c>
      <c r="E159" s="24" t="s">
        <v>426</v>
      </c>
      <c r="F159" s="23" t="s">
        <v>141</v>
      </c>
      <c r="G159" s="23" t="s">
        <v>423</v>
      </c>
      <c r="H159" s="24" t="s">
        <v>436</v>
      </c>
      <c r="I159" s="25">
        <v>8.0</v>
      </c>
      <c r="J159" s="21"/>
      <c r="K159" s="21"/>
      <c r="L159" s="21"/>
    </row>
    <row r="160">
      <c r="A160" s="22">
        <v>2011.0</v>
      </c>
      <c r="B160" s="23" t="s">
        <v>504</v>
      </c>
      <c r="C160" s="23" t="s">
        <v>505</v>
      </c>
      <c r="D160" s="23" t="s">
        <v>506</v>
      </c>
      <c r="E160" s="24" t="s">
        <v>426</v>
      </c>
      <c r="F160" s="23" t="s">
        <v>141</v>
      </c>
      <c r="G160" s="23" t="s">
        <v>69</v>
      </c>
      <c r="H160" s="24" t="s">
        <v>436</v>
      </c>
      <c r="I160" s="25">
        <v>8.0</v>
      </c>
      <c r="J160" s="21"/>
      <c r="K160" s="21"/>
      <c r="L160" s="21"/>
    </row>
    <row r="161">
      <c r="A161" s="22">
        <v>2012.0</v>
      </c>
      <c r="B161" s="23" t="s">
        <v>507</v>
      </c>
      <c r="C161" s="23" t="s">
        <v>508</v>
      </c>
      <c r="D161" s="23" t="s">
        <v>509</v>
      </c>
      <c r="E161" s="24" t="s">
        <v>426</v>
      </c>
      <c r="F161" s="23" t="s">
        <v>148</v>
      </c>
      <c r="G161" s="23" t="s">
        <v>59</v>
      </c>
      <c r="H161" s="24" t="s">
        <v>436</v>
      </c>
      <c r="I161" s="25">
        <v>8.0</v>
      </c>
      <c r="J161" s="21"/>
      <c r="K161" s="21"/>
      <c r="L161" s="21"/>
    </row>
    <row r="162">
      <c r="A162" s="22">
        <v>2012.0</v>
      </c>
      <c r="B162" s="23" t="s">
        <v>510</v>
      </c>
      <c r="C162" s="23" t="s">
        <v>511</v>
      </c>
      <c r="D162" s="23" t="s">
        <v>512</v>
      </c>
      <c r="E162" s="24" t="s">
        <v>426</v>
      </c>
      <c r="F162" s="23" t="s">
        <v>132</v>
      </c>
      <c r="G162" s="23" t="s">
        <v>383</v>
      </c>
      <c r="H162" s="24" t="s">
        <v>132</v>
      </c>
      <c r="I162" s="25">
        <v>9.0</v>
      </c>
      <c r="J162" s="21"/>
      <c r="K162" s="21"/>
      <c r="L162" s="21"/>
    </row>
    <row r="163">
      <c r="A163" s="22">
        <v>2012.0</v>
      </c>
      <c r="B163" s="23" t="s">
        <v>513</v>
      </c>
      <c r="C163" s="23" t="s">
        <v>514</v>
      </c>
      <c r="D163" s="23" t="s">
        <v>515</v>
      </c>
      <c r="E163" s="24" t="s">
        <v>426</v>
      </c>
      <c r="F163" s="23" t="s">
        <v>516</v>
      </c>
      <c r="G163" s="23" t="s">
        <v>69</v>
      </c>
      <c r="H163" s="24" t="s">
        <v>517</v>
      </c>
      <c r="I163" s="25">
        <v>10.0</v>
      </c>
      <c r="J163" s="21"/>
      <c r="K163" s="21"/>
      <c r="L163" s="21"/>
    </row>
    <row r="164">
      <c r="A164" s="22">
        <v>2012.0</v>
      </c>
      <c r="B164" s="23" t="s">
        <v>518</v>
      </c>
      <c r="C164" s="23" t="s">
        <v>519</v>
      </c>
      <c r="D164" s="23" t="s">
        <v>520</v>
      </c>
      <c r="E164" s="24" t="s">
        <v>426</v>
      </c>
      <c r="F164" s="23" t="s">
        <v>521</v>
      </c>
      <c r="G164" s="23" t="s">
        <v>69</v>
      </c>
      <c r="H164" s="24" t="s">
        <v>436</v>
      </c>
      <c r="I164" s="25">
        <v>8.0</v>
      </c>
      <c r="J164" s="21"/>
      <c r="K164" s="21"/>
      <c r="L164" s="21"/>
    </row>
    <row r="165">
      <c r="A165" s="22">
        <v>2013.0</v>
      </c>
      <c r="B165" s="23" t="s">
        <v>522</v>
      </c>
      <c r="C165" s="23" t="s">
        <v>523</v>
      </c>
      <c r="D165" s="23" t="s">
        <v>524</v>
      </c>
      <c r="E165" s="24" t="s">
        <v>426</v>
      </c>
      <c r="F165" s="23" t="s">
        <v>141</v>
      </c>
      <c r="G165" s="23" t="s">
        <v>69</v>
      </c>
      <c r="H165" s="24" t="s">
        <v>436</v>
      </c>
      <c r="I165" s="25">
        <v>9.0</v>
      </c>
      <c r="J165" s="21"/>
      <c r="K165" s="21"/>
      <c r="L165" s="21"/>
    </row>
    <row r="166">
      <c r="A166" s="22">
        <v>2013.0</v>
      </c>
      <c r="B166" s="23" t="s">
        <v>525</v>
      </c>
      <c r="C166" s="23" t="s">
        <v>283</v>
      </c>
      <c r="D166" s="23" t="s">
        <v>526</v>
      </c>
      <c r="E166" s="24" t="s">
        <v>426</v>
      </c>
      <c r="F166" s="23" t="s">
        <v>172</v>
      </c>
      <c r="G166" s="23" t="s">
        <v>285</v>
      </c>
      <c r="H166" s="24" t="s">
        <v>436</v>
      </c>
      <c r="I166" s="25">
        <v>7.0</v>
      </c>
      <c r="J166" s="21"/>
      <c r="K166" s="21"/>
      <c r="L166" s="21"/>
    </row>
    <row r="167">
      <c r="A167" s="22">
        <v>2014.0</v>
      </c>
      <c r="B167" s="23" t="s">
        <v>527</v>
      </c>
      <c r="C167" s="23" t="s">
        <v>528</v>
      </c>
      <c r="D167" s="23" t="s">
        <v>529</v>
      </c>
      <c r="E167" s="24" t="s">
        <v>426</v>
      </c>
      <c r="F167" s="23" t="s">
        <v>141</v>
      </c>
      <c r="G167" s="23" t="s">
        <v>406</v>
      </c>
      <c r="H167" s="24" t="s">
        <v>436</v>
      </c>
      <c r="I167" s="25">
        <v>8.0</v>
      </c>
      <c r="J167" s="21"/>
      <c r="K167" s="21"/>
      <c r="L167" s="21"/>
    </row>
    <row r="168">
      <c r="A168" s="22">
        <v>2014.0</v>
      </c>
      <c r="B168" s="23" t="s">
        <v>530</v>
      </c>
      <c r="C168" s="23" t="s">
        <v>377</v>
      </c>
      <c r="D168" s="23" t="s">
        <v>531</v>
      </c>
      <c r="E168" s="24" t="s">
        <v>426</v>
      </c>
      <c r="F168" s="23" t="s">
        <v>132</v>
      </c>
      <c r="G168" s="23" t="s">
        <v>69</v>
      </c>
      <c r="H168" s="24" t="s">
        <v>436</v>
      </c>
      <c r="I168" s="25">
        <v>8.0</v>
      </c>
      <c r="J168" s="21"/>
      <c r="K168" s="21"/>
      <c r="L168" s="21"/>
    </row>
    <row r="169">
      <c r="A169" s="22">
        <v>2015.0</v>
      </c>
      <c r="B169" s="23" t="s">
        <v>532</v>
      </c>
      <c r="C169" s="23" t="s">
        <v>533</v>
      </c>
      <c r="D169" s="23" t="s">
        <v>534</v>
      </c>
      <c r="E169" s="24" t="s">
        <v>426</v>
      </c>
      <c r="F169" s="23" t="s">
        <v>141</v>
      </c>
      <c r="G169" s="23" t="s">
        <v>383</v>
      </c>
      <c r="H169" s="24" t="s">
        <v>436</v>
      </c>
      <c r="I169" s="25">
        <v>8.0</v>
      </c>
      <c r="J169" s="21"/>
      <c r="K169" s="21"/>
      <c r="L169" s="21"/>
    </row>
    <row r="170">
      <c r="A170" s="22">
        <v>2015.0</v>
      </c>
      <c r="B170" s="23" t="s">
        <v>535</v>
      </c>
      <c r="C170" s="23" t="s">
        <v>536</v>
      </c>
      <c r="D170" s="23" t="s">
        <v>537</v>
      </c>
      <c r="E170" s="24" t="s">
        <v>426</v>
      </c>
      <c r="F170" s="23" t="s">
        <v>132</v>
      </c>
      <c r="G170" s="23" t="s">
        <v>69</v>
      </c>
      <c r="H170" s="24" t="s">
        <v>132</v>
      </c>
      <c r="I170" s="25">
        <v>9.0</v>
      </c>
      <c r="J170" s="21"/>
      <c r="K170" s="21"/>
      <c r="L170" s="21"/>
    </row>
    <row r="171">
      <c r="A171" s="22">
        <v>2015.0</v>
      </c>
      <c r="B171" s="23" t="s">
        <v>538</v>
      </c>
      <c r="C171" s="23" t="s">
        <v>256</v>
      </c>
      <c r="D171" s="23" t="s">
        <v>539</v>
      </c>
      <c r="E171" s="24" t="s">
        <v>426</v>
      </c>
      <c r="F171" s="23" t="s">
        <v>141</v>
      </c>
      <c r="G171" s="23" t="s">
        <v>69</v>
      </c>
      <c r="H171" s="24" t="s">
        <v>436</v>
      </c>
      <c r="I171" s="25">
        <v>7.0</v>
      </c>
      <c r="J171" s="21"/>
      <c r="K171" s="21"/>
      <c r="L171" s="21"/>
    </row>
    <row r="172">
      <c r="A172" s="22">
        <v>2015.0</v>
      </c>
      <c r="B172" s="23" t="s">
        <v>540</v>
      </c>
      <c r="C172" s="23" t="s">
        <v>541</v>
      </c>
      <c r="D172" s="23" t="s">
        <v>542</v>
      </c>
      <c r="E172" s="24" t="s">
        <v>426</v>
      </c>
      <c r="F172" s="23" t="s">
        <v>148</v>
      </c>
      <c r="G172" s="23" t="s">
        <v>406</v>
      </c>
      <c r="H172" s="24" t="s">
        <v>436</v>
      </c>
      <c r="I172" s="25">
        <v>8.0</v>
      </c>
      <c r="J172" s="21"/>
      <c r="K172" s="21"/>
      <c r="L172" s="21"/>
    </row>
    <row r="173">
      <c r="A173" s="22">
        <v>2016.0</v>
      </c>
      <c r="B173" s="23" t="s">
        <v>543</v>
      </c>
      <c r="C173" s="23" t="s">
        <v>544</v>
      </c>
      <c r="D173" s="23" t="s">
        <v>545</v>
      </c>
      <c r="E173" s="24" t="s">
        <v>426</v>
      </c>
      <c r="F173" s="23" t="s">
        <v>132</v>
      </c>
      <c r="G173" s="23" t="s">
        <v>59</v>
      </c>
      <c r="H173" s="24" t="s">
        <v>132</v>
      </c>
      <c r="I173" s="25">
        <v>9.0</v>
      </c>
      <c r="J173" s="21"/>
      <c r="K173" s="21"/>
      <c r="L173" s="21"/>
    </row>
    <row r="174">
      <c r="A174" s="22">
        <v>2016.0</v>
      </c>
      <c r="B174" s="23" t="s">
        <v>546</v>
      </c>
      <c r="C174" s="23" t="s">
        <v>266</v>
      </c>
      <c r="D174" s="23" t="s">
        <v>547</v>
      </c>
      <c r="E174" s="24" t="s">
        <v>426</v>
      </c>
      <c r="F174" s="23" t="s">
        <v>148</v>
      </c>
      <c r="G174" s="23" t="s">
        <v>69</v>
      </c>
      <c r="H174" s="24" t="s">
        <v>436</v>
      </c>
      <c r="I174" s="25">
        <v>8.0</v>
      </c>
      <c r="J174" s="21"/>
      <c r="K174" s="21"/>
      <c r="L174" s="21"/>
    </row>
    <row r="175">
      <c r="A175" s="22">
        <v>2016.0</v>
      </c>
      <c r="B175" s="23" t="s">
        <v>548</v>
      </c>
      <c r="C175" s="23" t="s">
        <v>549</v>
      </c>
      <c r="D175" s="23" t="s">
        <v>550</v>
      </c>
      <c r="E175" s="24" t="s">
        <v>426</v>
      </c>
      <c r="F175" s="23" t="s">
        <v>141</v>
      </c>
      <c r="G175" s="23" t="s">
        <v>551</v>
      </c>
      <c r="H175" s="24" t="s">
        <v>436</v>
      </c>
      <c r="I175" s="25">
        <v>9.0</v>
      </c>
      <c r="J175" s="21"/>
      <c r="K175" s="21"/>
      <c r="L175" s="21"/>
    </row>
    <row r="176">
      <c r="A176" s="22">
        <v>2017.0</v>
      </c>
      <c r="B176" s="23" t="s">
        <v>552</v>
      </c>
      <c r="C176" s="23" t="s">
        <v>553</v>
      </c>
      <c r="D176" s="23" t="s">
        <v>554</v>
      </c>
      <c r="E176" s="24" t="s">
        <v>426</v>
      </c>
      <c r="F176" s="23" t="s">
        <v>132</v>
      </c>
      <c r="G176" s="23" t="s">
        <v>69</v>
      </c>
      <c r="H176" s="24" t="s">
        <v>132</v>
      </c>
      <c r="I176" s="25">
        <v>10.0</v>
      </c>
      <c r="J176" s="21"/>
      <c r="K176" s="21"/>
      <c r="L176" s="21"/>
    </row>
    <row r="177">
      <c r="A177" s="22">
        <v>2017.0</v>
      </c>
      <c r="B177" s="23" t="s">
        <v>555</v>
      </c>
      <c r="C177" s="23" t="s">
        <v>317</v>
      </c>
      <c r="D177" s="23" t="s">
        <v>556</v>
      </c>
      <c r="E177" s="24" t="s">
        <v>426</v>
      </c>
      <c r="F177" s="23" t="s">
        <v>172</v>
      </c>
      <c r="G177" s="23" t="s">
        <v>285</v>
      </c>
      <c r="H177" s="24" t="s">
        <v>436</v>
      </c>
      <c r="I177" s="25">
        <v>8.0</v>
      </c>
      <c r="J177" s="21"/>
      <c r="K177" s="21"/>
      <c r="L177" s="21"/>
    </row>
    <row r="178">
      <c r="A178" s="22">
        <v>2017.0</v>
      </c>
      <c r="B178" s="23" t="s">
        <v>557</v>
      </c>
      <c r="C178" s="23" t="s">
        <v>558</v>
      </c>
      <c r="D178" s="23" t="s">
        <v>559</v>
      </c>
      <c r="E178" s="24" t="s">
        <v>426</v>
      </c>
      <c r="F178" s="23" t="s">
        <v>141</v>
      </c>
      <c r="G178" s="23" t="s">
        <v>69</v>
      </c>
      <c r="H178" s="24" t="s">
        <v>436</v>
      </c>
      <c r="I178" s="25">
        <v>7.0</v>
      </c>
      <c r="J178" s="21"/>
      <c r="K178" s="21"/>
      <c r="L178" s="21"/>
    </row>
    <row r="179">
      <c r="A179" s="22">
        <v>2018.0</v>
      </c>
      <c r="B179" s="23" t="s">
        <v>560</v>
      </c>
      <c r="C179" s="23" t="s">
        <v>463</v>
      </c>
      <c r="D179" s="23" t="s">
        <v>561</v>
      </c>
      <c r="E179" s="24" t="s">
        <v>426</v>
      </c>
      <c r="F179" s="23" t="s">
        <v>132</v>
      </c>
      <c r="G179" s="23" t="s">
        <v>69</v>
      </c>
      <c r="H179" s="24" t="s">
        <v>132</v>
      </c>
      <c r="I179" s="25">
        <v>9.0</v>
      </c>
      <c r="J179" s="21"/>
      <c r="K179" s="21"/>
      <c r="L179" s="21"/>
    </row>
    <row r="180">
      <c r="A180" s="22">
        <v>2019.0</v>
      </c>
      <c r="B180" s="23" t="s">
        <v>562</v>
      </c>
      <c r="C180" s="23" t="s">
        <v>563</v>
      </c>
      <c r="D180" s="23" t="s">
        <v>564</v>
      </c>
      <c r="E180" s="24" t="s">
        <v>426</v>
      </c>
      <c r="F180" s="23" t="s">
        <v>565</v>
      </c>
      <c r="G180" s="23" t="s">
        <v>69</v>
      </c>
      <c r="H180" s="24" t="s">
        <v>517</v>
      </c>
      <c r="I180" s="25">
        <v>8.0</v>
      </c>
      <c r="J180" s="21"/>
      <c r="K180" s="21"/>
      <c r="L180" s="21"/>
    </row>
    <row r="181">
      <c r="A181" s="22">
        <v>2019.0</v>
      </c>
      <c r="B181" s="23" t="s">
        <v>566</v>
      </c>
      <c r="C181" s="23" t="s">
        <v>567</v>
      </c>
      <c r="D181" s="23" t="s">
        <v>568</v>
      </c>
      <c r="E181" s="24" t="s">
        <v>426</v>
      </c>
      <c r="F181" s="23" t="s">
        <v>68</v>
      </c>
      <c r="G181" s="23" t="s">
        <v>406</v>
      </c>
      <c r="H181" s="24" t="s">
        <v>436</v>
      </c>
      <c r="I181" s="25">
        <v>8.0</v>
      </c>
      <c r="J181" s="21"/>
      <c r="K181" s="21"/>
      <c r="L181" s="21"/>
    </row>
    <row r="182">
      <c r="A182" s="22">
        <v>2019.0</v>
      </c>
      <c r="B182" s="23" t="s">
        <v>569</v>
      </c>
      <c r="C182" s="23" t="s">
        <v>570</v>
      </c>
      <c r="D182" s="23" t="s">
        <v>571</v>
      </c>
      <c r="E182" s="24" t="s">
        <v>426</v>
      </c>
      <c r="F182" s="23" t="s">
        <v>68</v>
      </c>
      <c r="G182" s="23" t="s">
        <v>69</v>
      </c>
      <c r="H182" s="24" t="s">
        <v>436</v>
      </c>
      <c r="I182" s="25">
        <v>8.0</v>
      </c>
      <c r="J182" s="21"/>
      <c r="K182" s="21"/>
      <c r="L182" s="21"/>
    </row>
    <row r="183">
      <c r="A183" s="22">
        <v>2020.0</v>
      </c>
      <c r="B183" s="23" t="s">
        <v>572</v>
      </c>
      <c r="C183" s="23" t="s">
        <v>535</v>
      </c>
      <c r="D183" s="23" t="s">
        <v>573</v>
      </c>
      <c r="E183" s="24" t="s">
        <v>426</v>
      </c>
      <c r="F183" s="23" t="s">
        <v>132</v>
      </c>
      <c r="G183" s="23" t="s">
        <v>69</v>
      </c>
      <c r="H183" s="24" t="s">
        <v>132</v>
      </c>
      <c r="I183" s="25">
        <v>9.0</v>
      </c>
      <c r="J183" s="21"/>
      <c r="K183" s="21"/>
      <c r="L183" s="21"/>
    </row>
    <row r="184">
      <c r="A184" s="22">
        <v>2020.0</v>
      </c>
      <c r="B184" s="23" t="s">
        <v>574</v>
      </c>
      <c r="C184" s="23" t="s">
        <v>266</v>
      </c>
      <c r="D184" s="23" t="s">
        <v>575</v>
      </c>
      <c r="E184" s="24" t="s">
        <v>426</v>
      </c>
      <c r="F184" s="23" t="s">
        <v>148</v>
      </c>
      <c r="G184" s="23" t="s">
        <v>69</v>
      </c>
      <c r="H184" s="24" t="s">
        <v>436</v>
      </c>
      <c r="I184" s="25">
        <v>9.0</v>
      </c>
      <c r="J184" s="21"/>
      <c r="K184" s="21"/>
      <c r="L184" s="21"/>
    </row>
    <row r="185">
      <c r="A185" s="22">
        <v>2020.0</v>
      </c>
      <c r="B185" s="23" t="s">
        <v>576</v>
      </c>
      <c r="C185" s="23" t="s">
        <v>577</v>
      </c>
      <c r="D185" s="23" t="s">
        <v>578</v>
      </c>
      <c r="E185" s="24" t="s">
        <v>426</v>
      </c>
      <c r="F185" s="23" t="s">
        <v>516</v>
      </c>
      <c r="G185" s="23" t="s">
        <v>579</v>
      </c>
      <c r="H185" s="24" t="s">
        <v>517</v>
      </c>
      <c r="I185" s="25">
        <v>10.0</v>
      </c>
      <c r="J185" s="21"/>
      <c r="K185" s="21"/>
      <c r="L185" s="21"/>
    </row>
    <row r="186">
      <c r="A186" s="22">
        <v>2021.0</v>
      </c>
      <c r="B186" s="23" t="s">
        <v>580</v>
      </c>
      <c r="C186" s="23" t="s">
        <v>535</v>
      </c>
      <c r="D186" s="23" t="s">
        <v>581</v>
      </c>
      <c r="E186" s="24" t="s">
        <v>426</v>
      </c>
      <c r="F186" s="23" t="s">
        <v>132</v>
      </c>
      <c r="G186" s="23" t="s">
        <v>69</v>
      </c>
      <c r="H186" s="24" t="s">
        <v>132</v>
      </c>
      <c r="I186" s="25">
        <v>8.0</v>
      </c>
      <c r="J186" s="21"/>
      <c r="K186" s="21"/>
      <c r="L186" s="21"/>
    </row>
    <row r="187">
      <c r="A187" s="22">
        <v>2021.0</v>
      </c>
      <c r="B187" s="23" t="s">
        <v>582</v>
      </c>
      <c r="C187" s="23" t="s">
        <v>583</v>
      </c>
      <c r="D187" s="23" t="s">
        <v>584</v>
      </c>
      <c r="E187" s="24" t="s">
        <v>426</v>
      </c>
      <c r="F187" s="23" t="s">
        <v>132</v>
      </c>
      <c r="G187" s="23" t="s">
        <v>69</v>
      </c>
      <c r="H187" s="24" t="s">
        <v>132</v>
      </c>
      <c r="I187" s="25">
        <v>8.0</v>
      </c>
      <c r="J187" s="21"/>
      <c r="K187" s="21"/>
      <c r="L187" s="21"/>
    </row>
    <row r="188">
      <c r="A188" s="22">
        <v>2021.0</v>
      </c>
      <c r="B188" s="23" t="s">
        <v>585</v>
      </c>
      <c r="C188" s="23" t="s">
        <v>567</v>
      </c>
      <c r="D188" s="23" t="s">
        <v>586</v>
      </c>
      <c r="E188" s="24" t="s">
        <v>426</v>
      </c>
      <c r="F188" s="23" t="s">
        <v>141</v>
      </c>
      <c r="G188" s="23" t="s">
        <v>406</v>
      </c>
      <c r="H188" s="24" t="s">
        <v>436</v>
      </c>
      <c r="I188" s="25">
        <v>6.0</v>
      </c>
      <c r="J188" s="21"/>
      <c r="K188" s="21"/>
      <c r="L188" s="21"/>
    </row>
    <row r="189">
      <c r="A189" s="22">
        <v>2021.0</v>
      </c>
      <c r="B189" s="23" t="s">
        <v>587</v>
      </c>
      <c r="C189" s="23" t="s">
        <v>588</v>
      </c>
      <c r="D189" s="23" t="s">
        <v>589</v>
      </c>
      <c r="E189" s="24" t="s">
        <v>426</v>
      </c>
      <c r="F189" s="23" t="s">
        <v>590</v>
      </c>
      <c r="G189" s="23" t="s">
        <v>69</v>
      </c>
      <c r="H189" s="24" t="s">
        <v>436</v>
      </c>
      <c r="I189" s="25">
        <v>6.0</v>
      </c>
      <c r="J189" s="21"/>
      <c r="K189" s="21"/>
      <c r="L189" s="21"/>
    </row>
    <row r="190">
      <c r="A190" s="22">
        <v>2022.0</v>
      </c>
      <c r="B190" s="23" t="s">
        <v>591</v>
      </c>
      <c r="C190" s="23" t="s">
        <v>592</v>
      </c>
      <c r="D190" s="23" t="s">
        <v>593</v>
      </c>
      <c r="E190" s="24" t="s">
        <v>426</v>
      </c>
      <c r="F190" s="23" t="s">
        <v>132</v>
      </c>
      <c r="G190" s="23" t="s">
        <v>69</v>
      </c>
      <c r="H190" s="24" t="s">
        <v>132</v>
      </c>
      <c r="I190" s="25">
        <v>8.0</v>
      </c>
      <c r="J190" s="21"/>
      <c r="K190" s="21"/>
      <c r="L190" s="21"/>
    </row>
    <row r="191">
      <c r="A191" s="22">
        <v>2022.0</v>
      </c>
      <c r="B191" s="23" t="s">
        <v>594</v>
      </c>
      <c r="C191" s="23" t="s">
        <v>595</v>
      </c>
      <c r="D191" s="23" t="s">
        <v>596</v>
      </c>
      <c r="E191" s="24" t="s">
        <v>426</v>
      </c>
      <c r="F191" s="23" t="s">
        <v>132</v>
      </c>
      <c r="G191" s="23" t="s">
        <v>59</v>
      </c>
      <c r="H191" s="24" t="s">
        <v>132</v>
      </c>
      <c r="I191" s="25">
        <v>9.0</v>
      </c>
      <c r="J191" s="21"/>
      <c r="K191" s="21"/>
      <c r="L191" s="21"/>
    </row>
    <row r="192">
      <c r="A192" s="22">
        <v>2022.0</v>
      </c>
      <c r="B192" s="23" t="s">
        <v>597</v>
      </c>
      <c r="C192" s="23" t="s">
        <v>598</v>
      </c>
      <c r="D192" s="23" t="s">
        <v>599</v>
      </c>
      <c r="E192" s="24" t="s">
        <v>426</v>
      </c>
      <c r="F192" s="23" t="s">
        <v>148</v>
      </c>
      <c r="G192" s="23" t="s">
        <v>69</v>
      </c>
      <c r="H192" s="24" t="s">
        <v>436</v>
      </c>
      <c r="I192" s="25">
        <v>8.0</v>
      </c>
      <c r="J192" s="21"/>
      <c r="K192" s="21"/>
      <c r="L192" s="21"/>
    </row>
    <row r="193">
      <c r="A193" s="22">
        <v>2022.0</v>
      </c>
      <c r="B193" s="23" t="s">
        <v>600</v>
      </c>
      <c r="C193" s="23" t="s">
        <v>535</v>
      </c>
      <c r="D193" s="23" t="s">
        <v>601</v>
      </c>
      <c r="E193" s="24" t="s">
        <v>426</v>
      </c>
      <c r="F193" s="23" t="s">
        <v>132</v>
      </c>
      <c r="G193" s="23" t="s">
        <v>69</v>
      </c>
      <c r="H193" s="24" t="s">
        <v>132</v>
      </c>
      <c r="I193" s="25">
        <v>10.0</v>
      </c>
      <c r="J193" s="21"/>
      <c r="K193" s="21"/>
      <c r="L193" s="21"/>
    </row>
    <row r="194">
      <c r="A194" s="22">
        <v>2023.0</v>
      </c>
      <c r="B194" s="23" t="s">
        <v>602</v>
      </c>
      <c r="C194" s="23" t="s">
        <v>535</v>
      </c>
      <c r="D194" s="23" t="s">
        <v>603</v>
      </c>
      <c r="E194" s="24" t="s">
        <v>426</v>
      </c>
      <c r="F194" s="23" t="s">
        <v>132</v>
      </c>
      <c r="G194" s="23" t="s">
        <v>69</v>
      </c>
      <c r="H194" s="24" t="s">
        <v>132</v>
      </c>
      <c r="I194" s="25">
        <v>10.0</v>
      </c>
      <c r="J194" s="21"/>
      <c r="K194" s="21"/>
      <c r="L194" s="21"/>
    </row>
    <row r="195">
      <c r="A195" s="22">
        <v>2023.0</v>
      </c>
      <c r="B195" s="23" t="s">
        <v>604</v>
      </c>
      <c r="C195" s="23" t="s">
        <v>588</v>
      </c>
      <c r="D195" s="23" t="s">
        <v>605</v>
      </c>
      <c r="E195" s="24" t="s">
        <v>426</v>
      </c>
      <c r="F195" s="23" t="s">
        <v>132</v>
      </c>
      <c r="G195" s="23" t="s">
        <v>69</v>
      </c>
      <c r="H195" s="24" t="s">
        <v>132</v>
      </c>
      <c r="I195" s="25">
        <v>9.0</v>
      </c>
      <c r="J195" s="21"/>
      <c r="K195" s="21"/>
      <c r="L195" s="21"/>
    </row>
    <row r="196">
      <c r="A196" s="22">
        <v>2023.0</v>
      </c>
      <c r="B196" s="23" t="s">
        <v>606</v>
      </c>
      <c r="C196" s="23" t="s">
        <v>266</v>
      </c>
      <c r="D196" s="23" t="s">
        <v>607</v>
      </c>
      <c r="E196" s="24" t="s">
        <v>426</v>
      </c>
      <c r="F196" s="23" t="s">
        <v>148</v>
      </c>
      <c r="G196" s="23" t="s">
        <v>69</v>
      </c>
      <c r="H196" s="24" t="s">
        <v>436</v>
      </c>
      <c r="I196" s="25">
        <v>8.0</v>
      </c>
      <c r="J196" s="21"/>
      <c r="K196" s="21"/>
      <c r="L196" s="21"/>
    </row>
    <row r="197">
      <c r="A197" s="22">
        <v>2023.0</v>
      </c>
      <c r="B197" s="23" t="s">
        <v>608</v>
      </c>
      <c r="C197" s="23" t="s">
        <v>463</v>
      </c>
      <c r="D197" s="23" t="s">
        <v>609</v>
      </c>
      <c r="E197" s="24" t="s">
        <v>426</v>
      </c>
      <c r="F197" s="23" t="s">
        <v>132</v>
      </c>
      <c r="G197" s="23" t="s">
        <v>69</v>
      </c>
      <c r="H197" s="24" t="s">
        <v>132</v>
      </c>
      <c r="I197" s="25">
        <v>9.0</v>
      </c>
      <c r="J197" s="21"/>
      <c r="K197" s="21"/>
      <c r="L197" s="21"/>
    </row>
    <row r="198">
      <c r="A198" s="22">
        <v>2023.0</v>
      </c>
      <c r="B198" s="23" t="s">
        <v>610</v>
      </c>
      <c r="C198" s="23" t="s">
        <v>415</v>
      </c>
      <c r="D198" s="23" t="s">
        <v>611</v>
      </c>
      <c r="E198" s="24" t="s">
        <v>426</v>
      </c>
      <c r="F198" s="23" t="s">
        <v>148</v>
      </c>
      <c r="G198" s="23" t="s">
        <v>69</v>
      </c>
      <c r="H198" s="24" t="s">
        <v>132</v>
      </c>
      <c r="I198" s="25">
        <v>10.0</v>
      </c>
      <c r="J198" s="21"/>
      <c r="K198" s="21"/>
      <c r="L198" s="21"/>
    </row>
    <row r="199">
      <c r="A199" s="22">
        <v>2024.0</v>
      </c>
      <c r="B199" s="23" t="s">
        <v>612</v>
      </c>
      <c r="C199" s="23" t="s">
        <v>535</v>
      </c>
      <c r="D199" s="23" t="s">
        <v>613</v>
      </c>
      <c r="E199" s="24" t="s">
        <v>426</v>
      </c>
      <c r="F199" s="23" t="s">
        <v>132</v>
      </c>
      <c r="G199" s="23" t="s">
        <v>69</v>
      </c>
      <c r="H199" s="24" t="s">
        <v>132</v>
      </c>
      <c r="I199" s="25">
        <v>9.0</v>
      </c>
      <c r="J199" s="21"/>
      <c r="K199" s="21"/>
      <c r="L199" s="21"/>
    </row>
    <row r="200">
      <c r="A200" s="22">
        <v>2024.0</v>
      </c>
      <c r="B200" s="23" t="s">
        <v>614</v>
      </c>
      <c r="C200" s="23" t="s">
        <v>615</v>
      </c>
      <c r="D200" s="23" t="s">
        <v>616</v>
      </c>
      <c r="E200" s="24" t="s">
        <v>426</v>
      </c>
      <c r="F200" s="23" t="s">
        <v>516</v>
      </c>
      <c r="G200" s="23" t="s">
        <v>69</v>
      </c>
      <c r="H200" s="24" t="s">
        <v>517</v>
      </c>
      <c r="I200" s="25">
        <v>9.0</v>
      </c>
      <c r="J200" s="21"/>
      <c r="K200" s="21"/>
      <c r="L200" s="21"/>
    </row>
    <row r="201">
      <c r="A201" s="22">
        <v>2024.0</v>
      </c>
      <c r="B201" s="23" t="s">
        <v>617</v>
      </c>
      <c r="C201" s="23" t="s">
        <v>256</v>
      </c>
      <c r="D201" s="23" t="s">
        <v>618</v>
      </c>
      <c r="E201" s="24" t="s">
        <v>426</v>
      </c>
      <c r="F201" s="23" t="s">
        <v>141</v>
      </c>
      <c r="G201" s="23" t="s">
        <v>69</v>
      </c>
      <c r="H201" s="24" t="s">
        <v>132</v>
      </c>
      <c r="I201" s="25">
        <v>8.0</v>
      </c>
      <c r="J201" s="21"/>
      <c r="K201" s="21"/>
      <c r="L201" s="21"/>
    </row>
    <row r="202">
      <c r="A202" s="22">
        <v>2024.0</v>
      </c>
      <c r="B202" s="23" t="s">
        <v>619</v>
      </c>
      <c r="C202" s="23" t="s">
        <v>620</v>
      </c>
      <c r="D202" s="23" t="s">
        <v>621</v>
      </c>
      <c r="E202" s="24" t="s">
        <v>426</v>
      </c>
      <c r="F202" s="23" t="s">
        <v>148</v>
      </c>
      <c r="G202" s="23" t="s">
        <v>69</v>
      </c>
      <c r="H202" s="24" t="s">
        <v>132</v>
      </c>
      <c r="I202" s="25">
        <v>8.0</v>
      </c>
      <c r="J202" s="21"/>
      <c r="K202" s="21"/>
      <c r="L202" s="21"/>
    </row>
    <row r="203">
      <c r="A203" s="22">
        <v>2024.0</v>
      </c>
      <c r="B203" s="23" t="s">
        <v>622</v>
      </c>
      <c r="C203" s="23" t="s">
        <v>623</v>
      </c>
      <c r="D203" s="23" t="s">
        <v>624</v>
      </c>
      <c r="E203" s="24" t="s">
        <v>426</v>
      </c>
      <c r="F203" s="23" t="s">
        <v>132</v>
      </c>
      <c r="G203" s="23" t="s">
        <v>69</v>
      </c>
      <c r="H203" s="24" t="s">
        <v>132</v>
      </c>
      <c r="I203" s="25">
        <v>8.0</v>
      </c>
      <c r="J203" s="21"/>
      <c r="K203" s="21"/>
      <c r="L203" s="21"/>
    </row>
    <row r="204">
      <c r="A204" s="22">
        <v>2024.0</v>
      </c>
      <c r="B204" s="23" t="s">
        <v>625</v>
      </c>
      <c r="C204" s="23" t="s">
        <v>626</v>
      </c>
      <c r="D204" s="23" t="s">
        <v>627</v>
      </c>
      <c r="E204" s="24" t="s">
        <v>426</v>
      </c>
      <c r="F204" s="23" t="s">
        <v>132</v>
      </c>
      <c r="G204" s="23" t="s">
        <v>69</v>
      </c>
      <c r="H204" s="24" t="s">
        <v>132</v>
      </c>
      <c r="I204" s="25">
        <v>9.0</v>
      </c>
      <c r="J204" s="21"/>
      <c r="K204" s="21"/>
      <c r="L204" s="21"/>
    </row>
    <row r="205">
      <c r="A205" s="22">
        <v>2024.0</v>
      </c>
      <c r="B205" s="23" t="s">
        <v>628</v>
      </c>
      <c r="C205" s="23" t="s">
        <v>629</v>
      </c>
      <c r="D205" s="23" t="s">
        <v>630</v>
      </c>
      <c r="E205" s="24" t="s">
        <v>426</v>
      </c>
      <c r="F205" s="23" t="s">
        <v>148</v>
      </c>
      <c r="G205" s="23" t="s">
        <v>69</v>
      </c>
      <c r="H205" s="24" t="s">
        <v>517</v>
      </c>
      <c r="I205" s="25">
        <v>6.0</v>
      </c>
      <c r="J205" s="21"/>
      <c r="K205" s="21"/>
      <c r="L205" s="21"/>
    </row>
    <row r="206">
      <c r="A206" s="22">
        <v>2025.0</v>
      </c>
      <c r="B206" s="23" t="s">
        <v>631</v>
      </c>
      <c r="C206" s="23" t="s">
        <v>567</v>
      </c>
      <c r="D206" s="23" t="s">
        <v>632</v>
      </c>
      <c r="E206" s="24" t="s">
        <v>426</v>
      </c>
      <c r="F206" s="23" t="s">
        <v>132</v>
      </c>
      <c r="G206" s="23" t="s">
        <v>406</v>
      </c>
      <c r="H206" s="24" t="s">
        <v>132</v>
      </c>
      <c r="I206" s="25">
        <v>9.0</v>
      </c>
      <c r="J206" s="21"/>
      <c r="K206" s="21"/>
      <c r="L206" s="21"/>
    </row>
    <row r="207">
      <c r="A207" s="22">
        <v>2025.0</v>
      </c>
      <c r="B207" s="23" t="s">
        <v>633</v>
      </c>
      <c r="C207" s="23" t="s">
        <v>634</v>
      </c>
      <c r="D207" s="23" t="s">
        <v>635</v>
      </c>
      <c r="E207" s="24" t="s">
        <v>426</v>
      </c>
      <c r="F207" s="23" t="s">
        <v>636</v>
      </c>
      <c r="G207" s="23" t="s">
        <v>406</v>
      </c>
      <c r="H207" s="24" t="s">
        <v>517</v>
      </c>
      <c r="I207" s="25">
        <v>8.0</v>
      </c>
      <c r="J207" s="21"/>
      <c r="K207" s="21"/>
      <c r="L207" s="21"/>
    </row>
    <row r="208">
      <c r="A208" s="22">
        <v>2025.0</v>
      </c>
      <c r="B208" s="23" t="s">
        <v>637</v>
      </c>
      <c r="C208" s="23" t="s">
        <v>567</v>
      </c>
      <c r="D208" s="23" t="s">
        <v>638</v>
      </c>
      <c r="E208" s="24" t="s">
        <v>426</v>
      </c>
      <c r="F208" s="23" t="s">
        <v>148</v>
      </c>
      <c r="G208" s="23" t="s">
        <v>406</v>
      </c>
      <c r="H208" s="24" t="s">
        <v>517</v>
      </c>
      <c r="I208" s="25">
        <v>7.0</v>
      </c>
      <c r="J208" s="21"/>
      <c r="K208" s="21"/>
      <c r="L208" s="21"/>
    </row>
    <row r="209">
      <c r="A209" s="26">
        <v>2025.0</v>
      </c>
      <c r="B209" s="27" t="s">
        <v>639</v>
      </c>
      <c r="C209" s="27" t="s">
        <v>640</v>
      </c>
      <c r="D209" s="27" t="s">
        <v>641</v>
      </c>
      <c r="E209" s="28" t="s">
        <v>426</v>
      </c>
      <c r="F209" s="27" t="s">
        <v>68</v>
      </c>
      <c r="G209" s="27" t="s">
        <v>406</v>
      </c>
      <c r="H209" s="28" t="s">
        <v>517</v>
      </c>
      <c r="I209" s="29">
        <v>7.0</v>
      </c>
      <c r="J209" s="21"/>
      <c r="K209" s="21"/>
      <c r="L209" s="21"/>
    </row>
    <row r="210">
      <c r="A210" s="21"/>
      <c r="B210" s="21"/>
      <c r="C210" s="21"/>
      <c r="D210" s="21"/>
      <c r="E210" s="21"/>
      <c r="F210" s="21"/>
      <c r="G210" s="21"/>
      <c r="H210" s="21"/>
      <c r="I210" s="21"/>
      <c r="J210" s="21"/>
      <c r="K210" s="21"/>
      <c r="L210" s="21"/>
    </row>
    <row r="211">
      <c r="A211" s="21"/>
      <c r="B211" s="21"/>
      <c r="C211" s="21"/>
      <c r="D211" s="21"/>
      <c r="E211" s="21"/>
      <c r="F211" s="21"/>
      <c r="G211" s="21"/>
      <c r="H211" s="21"/>
      <c r="I211" s="21"/>
      <c r="J211" s="21"/>
      <c r="K211" s="21"/>
      <c r="L211" s="21"/>
    </row>
    <row r="212">
      <c r="A212" s="21"/>
      <c r="B212" s="21"/>
      <c r="C212" s="21"/>
      <c r="D212" s="21"/>
      <c r="E212" s="21"/>
      <c r="F212" s="21"/>
      <c r="G212" s="21"/>
      <c r="H212" s="21"/>
      <c r="I212" s="21"/>
      <c r="J212" s="21"/>
      <c r="K212" s="21"/>
      <c r="L212" s="21"/>
    </row>
    <row r="213">
      <c r="A213" s="21"/>
      <c r="B213" s="21"/>
      <c r="C213" s="21"/>
      <c r="D213" s="21"/>
      <c r="E213" s="21"/>
      <c r="F213" s="21"/>
      <c r="G213" s="21"/>
      <c r="H213" s="21"/>
      <c r="I213" s="21"/>
      <c r="J213" s="21"/>
      <c r="K213" s="21"/>
      <c r="L213" s="21"/>
    </row>
    <row r="214">
      <c r="A214" s="21"/>
      <c r="B214" s="21"/>
      <c r="C214" s="21"/>
      <c r="D214" s="21"/>
      <c r="E214" s="21"/>
      <c r="F214" s="21"/>
      <c r="G214" s="21"/>
      <c r="H214" s="21"/>
      <c r="I214" s="21"/>
      <c r="J214" s="21"/>
      <c r="K214" s="21"/>
      <c r="L214" s="21"/>
    </row>
    <row r="215">
      <c r="A215" s="21"/>
      <c r="B215" s="21"/>
      <c r="C215" s="21"/>
      <c r="D215" s="21"/>
      <c r="E215" s="21"/>
      <c r="F215" s="21"/>
      <c r="G215" s="21"/>
      <c r="H215" s="21"/>
      <c r="I215" s="21"/>
      <c r="J215" s="21"/>
      <c r="K215" s="21"/>
      <c r="L215" s="21"/>
    </row>
  </sheetData>
  <customSheetViews>
    <customSheetView guid="{E41A0FDF-88F5-4500-B78C-CC8257FD3744}" filter="1" showAutoFilter="1">
      <autoFilter ref="$A$1:$L$215"/>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2.5"/>
    <col customWidth="1" min="3" max="3" width="20.0"/>
    <col customWidth="1" min="4" max="4" width="32.5"/>
    <col customWidth="1" min="5" max="5" width="7.38"/>
    <col customWidth="1" min="6" max="6" width="13.38"/>
    <col customWidth="1" min="7" max="7" width="16.25"/>
    <col customWidth="1" min="8" max="8" width="14.38"/>
    <col customWidth="1" min="9" max="9" width="19.75"/>
  </cols>
  <sheetData>
    <row r="1">
      <c r="A1" s="30" t="s">
        <v>642</v>
      </c>
      <c r="B1" s="31" t="s">
        <v>643</v>
      </c>
      <c r="C1" s="31" t="s">
        <v>644</v>
      </c>
      <c r="D1" s="31" t="s">
        <v>645</v>
      </c>
      <c r="E1" s="32" t="s">
        <v>646</v>
      </c>
      <c r="F1" s="31" t="s">
        <v>647</v>
      </c>
      <c r="G1" s="32" t="s">
        <v>648</v>
      </c>
      <c r="H1" s="32" t="s">
        <v>649</v>
      </c>
      <c r="I1" s="33" t="s">
        <v>650</v>
      </c>
    </row>
    <row r="2">
      <c r="A2" s="34" t="s">
        <v>651</v>
      </c>
      <c r="B2" s="35" t="s">
        <v>652</v>
      </c>
      <c r="C2" s="35" t="s">
        <v>367</v>
      </c>
      <c r="D2" s="35" t="s">
        <v>653</v>
      </c>
      <c r="E2" s="36">
        <v>1990.0</v>
      </c>
      <c r="F2" s="35" t="s">
        <v>654</v>
      </c>
      <c r="G2" s="36" t="s">
        <v>655</v>
      </c>
      <c r="H2" s="36" t="s">
        <v>656</v>
      </c>
      <c r="I2" s="37" t="s">
        <v>368</v>
      </c>
    </row>
    <row r="3">
      <c r="A3" s="34" t="s">
        <v>651</v>
      </c>
      <c r="B3" s="35" t="s">
        <v>657</v>
      </c>
      <c r="C3" s="35" t="s">
        <v>658</v>
      </c>
      <c r="D3" s="35" t="s">
        <v>659</v>
      </c>
      <c r="E3" s="36">
        <v>1990.0</v>
      </c>
      <c r="F3" s="35" t="s">
        <v>654</v>
      </c>
      <c r="G3" s="36" t="s">
        <v>660</v>
      </c>
      <c r="H3" s="36" t="s">
        <v>656</v>
      </c>
      <c r="I3" s="37" t="s">
        <v>661</v>
      </c>
    </row>
    <row r="4">
      <c r="A4" s="34" t="s">
        <v>651</v>
      </c>
      <c r="B4" s="35" t="s">
        <v>662</v>
      </c>
      <c r="C4" s="35" t="s">
        <v>663</v>
      </c>
      <c r="D4" s="35" t="s">
        <v>664</v>
      </c>
      <c r="E4" s="36">
        <v>1990.0</v>
      </c>
      <c r="F4" s="35" t="s">
        <v>654</v>
      </c>
      <c r="G4" s="36" t="s">
        <v>655</v>
      </c>
      <c r="H4" s="36" t="s">
        <v>656</v>
      </c>
      <c r="I4" s="37" t="s">
        <v>663</v>
      </c>
    </row>
    <row r="5">
      <c r="A5" s="34" t="s">
        <v>651</v>
      </c>
      <c r="B5" s="35" t="s">
        <v>665</v>
      </c>
      <c r="C5" s="35" t="s">
        <v>374</v>
      </c>
      <c r="D5" s="35" t="s">
        <v>666</v>
      </c>
      <c r="E5" s="36">
        <v>1990.0</v>
      </c>
      <c r="F5" s="35" t="s">
        <v>654</v>
      </c>
      <c r="G5" s="36" t="s">
        <v>655</v>
      </c>
      <c r="H5" s="36" t="s">
        <v>656</v>
      </c>
      <c r="I5" s="37" t="s">
        <v>375</v>
      </c>
    </row>
    <row r="6">
      <c r="A6" s="34" t="s">
        <v>651</v>
      </c>
      <c r="B6" s="35" t="s">
        <v>667</v>
      </c>
      <c r="C6" s="35" t="s">
        <v>395</v>
      </c>
      <c r="D6" s="35" t="s">
        <v>668</v>
      </c>
      <c r="E6" s="36">
        <v>1990.0</v>
      </c>
      <c r="F6" s="35" t="s">
        <v>654</v>
      </c>
      <c r="G6" s="36" t="s">
        <v>669</v>
      </c>
      <c r="H6" s="36" t="s">
        <v>656</v>
      </c>
      <c r="I6" s="37" t="s">
        <v>256</v>
      </c>
    </row>
    <row r="7">
      <c r="A7" s="34" t="s">
        <v>651</v>
      </c>
      <c r="B7" s="35" t="s">
        <v>670</v>
      </c>
      <c r="C7" s="35" t="s">
        <v>671</v>
      </c>
      <c r="D7" s="35" t="s">
        <v>672</v>
      </c>
      <c r="E7" s="36">
        <v>1990.0</v>
      </c>
      <c r="F7" s="35" t="s">
        <v>673</v>
      </c>
      <c r="G7" s="36" t="s">
        <v>674</v>
      </c>
      <c r="H7" s="36" t="s">
        <v>656</v>
      </c>
      <c r="I7" s="37" t="s">
        <v>377</v>
      </c>
    </row>
    <row r="8">
      <c r="A8" s="34" t="s">
        <v>651</v>
      </c>
      <c r="B8" s="35" t="s">
        <v>675</v>
      </c>
      <c r="C8" s="35" t="s">
        <v>676</v>
      </c>
      <c r="D8" s="35" t="s">
        <v>677</v>
      </c>
      <c r="E8" s="36">
        <v>1990.0</v>
      </c>
      <c r="F8" s="35" t="s">
        <v>654</v>
      </c>
      <c r="G8" s="36" t="s">
        <v>678</v>
      </c>
      <c r="H8" s="36" t="s">
        <v>656</v>
      </c>
      <c r="I8" s="37" t="s">
        <v>663</v>
      </c>
    </row>
    <row r="9">
      <c r="A9" s="34" t="s">
        <v>651</v>
      </c>
      <c r="B9" s="35" t="s">
        <v>679</v>
      </c>
      <c r="C9" s="35" t="s">
        <v>680</v>
      </c>
      <c r="D9" s="35" t="s">
        <v>681</v>
      </c>
      <c r="E9" s="36">
        <v>1990.0</v>
      </c>
      <c r="F9" s="35" t="s">
        <v>682</v>
      </c>
      <c r="G9" s="36" t="s">
        <v>683</v>
      </c>
      <c r="H9" s="36" t="s">
        <v>656</v>
      </c>
      <c r="I9" s="37" t="s">
        <v>684</v>
      </c>
    </row>
    <row r="10">
      <c r="A10" s="34" t="s">
        <v>651</v>
      </c>
      <c r="B10" s="35" t="s">
        <v>685</v>
      </c>
      <c r="C10" s="35" t="s">
        <v>407</v>
      </c>
      <c r="D10" s="35" t="s">
        <v>686</v>
      </c>
      <c r="E10" s="36">
        <v>1990.0</v>
      </c>
      <c r="F10" s="35" t="s">
        <v>654</v>
      </c>
      <c r="G10" s="36" t="s">
        <v>655</v>
      </c>
      <c r="H10" s="36" t="s">
        <v>656</v>
      </c>
      <c r="I10" s="37" t="s">
        <v>463</v>
      </c>
    </row>
    <row r="11">
      <c r="A11" s="34" t="s">
        <v>651</v>
      </c>
      <c r="B11" s="35" t="s">
        <v>394</v>
      </c>
      <c r="C11" s="35" t="s">
        <v>392</v>
      </c>
      <c r="D11" s="35" t="s">
        <v>687</v>
      </c>
      <c r="E11" s="36">
        <v>1990.0</v>
      </c>
      <c r="F11" s="35" t="s">
        <v>673</v>
      </c>
      <c r="G11" s="36" t="s">
        <v>655</v>
      </c>
      <c r="H11" s="36" t="s">
        <v>656</v>
      </c>
      <c r="I11" s="37" t="s">
        <v>392</v>
      </c>
    </row>
    <row r="12">
      <c r="A12" s="34" t="s">
        <v>651</v>
      </c>
      <c r="B12" s="35" t="s">
        <v>688</v>
      </c>
      <c r="C12" s="35" t="s">
        <v>689</v>
      </c>
      <c r="D12" s="35" t="s">
        <v>690</v>
      </c>
      <c r="E12" s="36">
        <v>1990.0</v>
      </c>
      <c r="F12" s="35" t="s">
        <v>691</v>
      </c>
      <c r="G12" s="36" t="s">
        <v>692</v>
      </c>
      <c r="H12" s="36" t="s">
        <v>656</v>
      </c>
      <c r="I12" s="37" t="s">
        <v>256</v>
      </c>
    </row>
    <row r="13">
      <c r="A13" s="34" t="s">
        <v>651</v>
      </c>
      <c r="B13" s="35" t="s">
        <v>693</v>
      </c>
      <c r="C13" s="38" t="s">
        <v>694</v>
      </c>
      <c r="D13" s="35" t="s">
        <v>695</v>
      </c>
      <c r="E13" s="36">
        <v>1990.0</v>
      </c>
      <c r="F13" s="35" t="s">
        <v>691</v>
      </c>
      <c r="G13" s="36" t="s">
        <v>655</v>
      </c>
      <c r="H13" s="36" t="s">
        <v>656</v>
      </c>
      <c r="I13" s="37" t="s">
        <v>696</v>
      </c>
    </row>
    <row r="14">
      <c r="A14" s="34" t="s">
        <v>651</v>
      </c>
      <c r="B14" s="35" t="s">
        <v>697</v>
      </c>
      <c r="C14" s="35" t="s">
        <v>698</v>
      </c>
      <c r="D14" s="35" t="s">
        <v>699</v>
      </c>
      <c r="E14" s="36">
        <v>1990.0</v>
      </c>
      <c r="F14" s="35" t="s">
        <v>700</v>
      </c>
      <c r="G14" s="36" t="s">
        <v>701</v>
      </c>
      <c r="H14" s="36" t="s">
        <v>702</v>
      </c>
      <c r="I14" s="37" t="s">
        <v>567</v>
      </c>
    </row>
    <row r="15">
      <c r="A15" s="34" t="s">
        <v>651</v>
      </c>
      <c r="B15" s="35" t="s">
        <v>703</v>
      </c>
      <c r="C15" s="35" t="s">
        <v>417</v>
      </c>
      <c r="D15" s="35" t="s">
        <v>704</v>
      </c>
      <c r="E15" s="36">
        <v>1990.0</v>
      </c>
      <c r="F15" s="35" t="s">
        <v>654</v>
      </c>
      <c r="G15" s="36" t="s">
        <v>705</v>
      </c>
      <c r="H15" s="36" t="s">
        <v>702</v>
      </c>
      <c r="I15" s="37" t="s">
        <v>417</v>
      </c>
    </row>
    <row r="16">
      <c r="A16" s="34" t="s">
        <v>651</v>
      </c>
      <c r="B16" s="35" t="s">
        <v>706</v>
      </c>
      <c r="C16" s="35" t="s">
        <v>707</v>
      </c>
      <c r="D16" s="35" t="s">
        <v>708</v>
      </c>
      <c r="E16" s="36">
        <v>1990.0</v>
      </c>
      <c r="F16" s="35" t="s">
        <v>654</v>
      </c>
      <c r="G16" s="36" t="s">
        <v>709</v>
      </c>
      <c r="H16" s="36" t="s">
        <v>656</v>
      </c>
      <c r="I16" s="37" t="s">
        <v>707</v>
      </c>
    </row>
    <row r="17">
      <c r="A17" s="34" t="s">
        <v>651</v>
      </c>
      <c r="B17" s="35" t="s">
        <v>710</v>
      </c>
      <c r="C17" s="35" t="s">
        <v>711</v>
      </c>
      <c r="D17" s="35" t="s">
        <v>712</v>
      </c>
      <c r="E17" s="36">
        <v>1990.0</v>
      </c>
      <c r="F17" s="35" t="s">
        <v>654</v>
      </c>
      <c r="G17" s="36" t="s">
        <v>655</v>
      </c>
      <c r="H17" s="36" t="s">
        <v>656</v>
      </c>
      <c r="I17" s="37" t="s">
        <v>713</v>
      </c>
    </row>
    <row r="18">
      <c r="A18" s="34" t="s">
        <v>651</v>
      </c>
      <c r="B18" s="35" t="s">
        <v>714</v>
      </c>
      <c r="C18" s="35" t="s">
        <v>715</v>
      </c>
      <c r="D18" s="35" t="s">
        <v>716</v>
      </c>
      <c r="E18" s="36">
        <v>1990.0</v>
      </c>
      <c r="F18" s="35" t="s">
        <v>717</v>
      </c>
      <c r="G18" s="36" t="s">
        <v>678</v>
      </c>
      <c r="H18" s="36" t="s">
        <v>656</v>
      </c>
      <c r="I18" s="37" t="s">
        <v>718</v>
      </c>
    </row>
    <row r="19">
      <c r="A19" s="34" t="s">
        <v>651</v>
      </c>
      <c r="B19" s="35" t="s">
        <v>719</v>
      </c>
      <c r="C19" s="35" t="s">
        <v>720</v>
      </c>
      <c r="D19" s="35" t="s">
        <v>721</v>
      </c>
      <c r="E19" s="36">
        <v>1990.0</v>
      </c>
      <c r="F19" s="35" t="s">
        <v>682</v>
      </c>
      <c r="G19" s="36" t="s">
        <v>683</v>
      </c>
      <c r="H19" s="36" t="s">
        <v>656</v>
      </c>
      <c r="I19" s="37" t="s">
        <v>707</v>
      </c>
    </row>
    <row r="20">
      <c r="A20" s="34" t="s">
        <v>651</v>
      </c>
      <c r="B20" s="35" t="s">
        <v>722</v>
      </c>
      <c r="C20" s="38" t="s">
        <v>723</v>
      </c>
      <c r="D20" s="35" t="s">
        <v>724</v>
      </c>
      <c r="E20" s="36">
        <v>1990.0</v>
      </c>
      <c r="F20" s="35" t="s">
        <v>691</v>
      </c>
      <c r="G20" s="36" t="s">
        <v>655</v>
      </c>
      <c r="H20" s="36" t="s">
        <v>656</v>
      </c>
      <c r="I20" s="37" t="s">
        <v>725</v>
      </c>
    </row>
    <row r="21">
      <c r="A21" s="34" t="s">
        <v>651</v>
      </c>
      <c r="B21" s="35" t="s">
        <v>726</v>
      </c>
      <c r="C21" s="38" t="s">
        <v>727</v>
      </c>
      <c r="D21" s="35" t="s">
        <v>728</v>
      </c>
      <c r="E21" s="36">
        <v>1990.0</v>
      </c>
      <c r="F21" s="35" t="s">
        <v>729</v>
      </c>
      <c r="G21" s="36" t="s">
        <v>678</v>
      </c>
      <c r="H21" s="36" t="s">
        <v>656</v>
      </c>
      <c r="I21" s="37" t="s">
        <v>730</v>
      </c>
    </row>
    <row r="22">
      <c r="A22" s="34" t="s">
        <v>651</v>
      </c>
      <c r="B22" s="35" t="s">
        <v>731</v>
      </c>
      <c r="C22" s="35" t="s">
        <v>732</v>
      </c>
      <c r="D22" s="35" t="s">
        <v>733</v>
      </c>
      <c r="E22" s="36">
        <v>1990.0</v>
      </c>
      <c r="F22" s="35" t="s">
        <v>734</v>
      </c>
      <c r="G22" s="36" t="s">
        <v>735</v>
      </c>
      <c r="H22" s="36" t="s">
        <v>656</v>
      </c>
      <c r="I22" s="37" t="s">
        <v>736</v>
      </c>
    </row>
    <row r="23">
      <c r="A23" s="34" t="s">
        <v>651</v>
      </c>
      <c r="B23" s="35" t="s">
        <v>737</v>
      </c>
      <c r="C23" s="35" t="s">
        <v>738</v>
      </c>
      <c r="D23" s="35" t="s">
        <v>739</v>
      </c>
      <c r="E23" s="36">
        <v>1990.0</v>
      </c>
      <c r="F23" s="35" t="s">
        <v>729</v>
      </c>
      <c r="G23" s="36" t="s">
        <v>678</v>
      </c>
      <c r="H23" s="36" t="s">
        <v>656</v>
      </c>
      <c r="I23" s="37" t="s">
        <v>256</v>
      </c>
    </row>
    <row r="24">
      <c r="A24" s="34" t="s">
        <v>651</v>
      </c>
      <c r="B24" s="35" t="s">
        <v>740</v>
      </c>
      <c r="C24" s="35" t="s">
        <v>741</v>
      </c>
      <c r="D24" s="35" t="s">
        <v>742</v>
      </c>
      <c r="E24" s="36">
        <v>1990.0</v>
      </c>
      <c r="F24" s="35" t="s">
        <v>734</v>
      </c>
      <c r="G24" s="36" t="s">
        <v>743</v>
      </c>
      <c r="H24" s="36" t="s">
        <v>656</v>
      </c>
      <c r="I24" s="37" t="s">
        <v>744</v>
      </c>
    </row>
    <row r="25">
      <c r="A25" s="34" t="s">
        <v>651</v>
      </c>
      <c r="B25" s="35" t="s">
        <v>745</v>
      </c>
      <c r="C25" s="35" t="s">
        <v>746</v>
      </c>
      <c r="D25" s="35" t="s">
        <v>747</v>
      </c>
      <c r="E25" s="36">
        <v>1990.0</v>
      </c>
      <c r="F25" s="35" t="s">
        <v>748</v>
      </c>
      <c r="G25" s="36" t="s">
        <v>655</v>
      </c>
      <c r="H25" s="36" t="s">
        <v>656</v>
      </c>
      <c r="I25" s="37" t="s">
        <v>375</v>
      </c>
    </row>
    <row r="26">
      <c r="A26" s="34" t="s">
        <v>651</v>
      </c>
      <c r="B26" s="35" t="s">
        <v>749</v>
      </c>
      <c r="C26" s="35" t="s">
        <v>750</v>
      </c>
      <c r="D26" s="35" t="s">
        <v>751</v>
      </c>
      <c r="E26" s="36" t="s">
        <v>752</v>
      </c>
      <c r="F26" s="35" t="s">
        <v>700</v>
      </c>
      <c r="G26" s="36" t="s">
        <v>753</v>
      </c>
      <c r="H26" s="36" t="s">
        <v>754</v>
      </c>
      <c r="I26" s="37" t="s">
        <v>567</v>
      </c>
    </row>
    <row r="27">
      <c r="A27" s="34" t="s">
        <v>651</v>
      </c>
      <c r="B27" s="35" t="s">
        <v>755</v>
      </c>
      <c r="C27" s="35" t="s">
        <v>756</v>
      </c>
      <c r="D27" s="35" t="s">
        <v>757</v>
      </c>
      <c r="E27" s="36">
        <v>1990.0</v>
      </c>
      <c r="F27" s="35" t="s">
        <v>700</v>
      </c>
      <c r="G27" s="36" t="s">
        <v>758</v>
      </c>
      <c r="H27" s="36" t="s">
        <v>656</v>
      </c>
      <c r="I27" s="37" t="s">
        <v>756</v>
      </c>
    </row>
    <row r="28">
      <c r="A28" s="34" t="s">
        <v>651</v>
      </c>
      <c r="B28" s="35" t="s">
        <v>759</v>
      </c>
      <c r="C28" s="35" t="s">
        <v>718</v>
      </c>
      <c r="D28" s="35" t="s">
        <v>760</v>
      </c>
      <c r="E28" s="36">
        <v>1990.0</v>
      </c>
      <c r="F28" s="35" t="s">
        <v>654</v>
      </c>
      <c r="G28" s="36" t="s">
        <v>655</v>
      </c>
      <c r="H28" s="36" t="s">
        <v>656</v>
      </c>
      <c r="I28" s="37" t="s">
        <v>718</v>
      </c>
    </row>
    <row r="29">
      <c r="A29" s="34" t="s">
        <v>651</v>
      </c>
      <c r="B29" s="35" t="s">
        <v>761</v>
      </c>
      <c r="C29" s="35" t="s">
        <v>762</v>
      </c>
      <c r="D29" s="35" t="s">
        <v>763</v>
      </c>
      <c r="E29" s="36">
        <v>1990.0</v>
      </c>
      <c r="F29" s="35" t="s">
        <v>654</v>
      </c>
      <c r="G29" s="36" t="s">
        <v>655</v>
      </c>
      <c r="H29" s="36" t="s">
        <v>656</v>
      </c>
      <c r="I29" s="37" t="s">
        <v>764</v>
      </c>
    </row>
    <row r="30">
      <c r="A30" s="34" t="s">
        <v>651</v>
      </c>
      <c r="B30" s="35" t="s">
        <v>765</v>
      </c>
      <c r="C30" s="35" t="s">
        <v>766</v>
      </c>
      <c r="D30" s="35" t="s">
        <v>767</v>
      </c>
      <c r="E30" s="36">
        <v>1990.0</v>
      </c>
      <c r="F30" s="35" t="s">
        <v>647</v>
      </c>
      <c r="G30" s="36" t="s">
        <v>768</v>
      </c>
      <c r="H30" s="36" t="s">
        <v>656</v>
      </c>
      <c r="I30" s="37" t="s">
        <v>663</v>
      </c>
    </row>
    <row r="31">
      <c r="A31" s="34" t="s">
        <v>651</v>
      </c>
      <c r="B31" s="35" t="s">
        <v>769</v>
      </c>
      <c r="C31" s="38" t="s">
        <v>770</v>
      </c>
      <c r="D31" s="35" t="s">
        <v>771</v>
      </c>
      <c r="E31" s="36">
        <v>1990.0</v>
      </c>
      <c r="F31" s="35" t="s">
        <v>673</v>
      </c>
      <c r="G31" s="36" t="s">
        <v>772</v>
      </c>
      <c r="H31" s="36" t="s">
        <v>656</v>
      </c>
      <c r="I31" s="37" t="s">
        <v>773</v>
      </c>
    </row>
    <row r="32">
      <c r="A32" s="34" t="s">
        <v>651</v>
      </c>
      <c r="B32" s="35" t="s">
        <v>774</v>
      </c>
      <c r="C32" s="35" t="s">
        <v>775</v>
      </c>
      <c r="D32" s="35" t="s">
        <v>776</v>
      </c>
      <c r="E32" s="36">
        <v>1990.0</v>
      </c>
      <c r="F32" s="35" t="s">
        <v>647</v>
      </c>
      <c r="G32" s="36" t="s">
        <v>655</v>
      </c>
      <c r="H32" s="36" t="s">
        <v>656</v>
      </c>
      <c r="I32" s="37" t="s">
        <v>707</v>
      </c>
    </row>
    <row r="33">
      <c r="A33" s="34" t="s">
        <v>651</v>
      </c>
      <c r="B33" s="35" t="s">
        <v>777</v>
      </c>
      <c r="C33" s="35" t="s">
        <v>778</v>
      </c>
      <c r="D33" s="35" t="s">
        <v>779</v>
      </c>
      <c r="E33" s="36">
        <v>1990.0</v>
      </c>
      <c r="F33" s="35" t="s">
        <v>673</v>
      </c>
      <c r="G33" s="36" t="s">
        <v>655</v>
      </c>
      <c r="H33" s="36" t="s">
        <v>656</v>
      </c>
      <c r="I33" s="37" t="s">
        <v>256</v>
      </c>
    </row>
    <row r="34">
      <c r="A34" s="34" t="s">
        <v>651</v>
      </c>
      <c r="B34" s="35" t="s">
        <v>780</v>
      </c>
      <c r="C34" s="35" t="s">
        <v>781</v>
      </c>
      <c r="D34" s="35" t="s">
        <v>782</v>
      </c>
      <c r="E34" s="36">
        <v>1990.0</v>
      </c>
      <c r="F34" s="35" t="s">
        <v>647</v>
      </c>
      <c r="G34" s="36" t="s">
        <v>655</v>
      </c>
      <c r="H34" s="36" t="s">
        <v>656</v>
      </c>
      <c r="I34" s="37" t="s">
        <v>783</v>
      </c>
    </row>
    <row r="35">
      <c r="A35" s="34" t="s">
        <v>651</v>
      </c>
      <c r="B35" s="35" t="s">
        <v>784</v>
      </c>
      <c r="C35" s="35" t="s">
        <v>785</v>
      </c>
      <c r="D35" s="35" t="s">
        <v>786</v>
      </c>
      <c r="E35" s="36">
        <v>1990.0</v>
      </c>
      <c r="F35" s="35" t="s">
        <v>729</v>
      </c>
      <c r="G35" s="36" t="s">
        <v>655</v>
      </c>
      <c r="H35" s="36" t="s">
        <v>656</v>
      </c>
      <c r="I35" s="37" t="s">
        <v>787</v>
      </c>
    </row>
    <row r="36">
      <c r="A36" s="34" t="s">
        <v>651</v>
      </c>
      <c r="B36" s="35" t="s">
        <v>788</v>
      </c>
      <c r="C36" s="35" t="s">
        <v>789</v>
      </c>
      <c r="D36" s="35" t="s">
        <v>790</v>
      </c>
      <c r="E36" s="36">
        <v>1990.0</v>
      </c>
      <c r="F36" s="35" t="s">
        <v>654</v>
      </c>
      <c r="G36" s="36" t="s">
        <v>655</v>
      </c>
      <c r="H36" s="36" t="s">
        <v>656</v>
      </c>
      <c r="I36" s="37" t="s">
        <v>791</v>
      </c>
    </row>
    <row r="37">
      <c r="A37" s="34" t="s">
        <v>651</v>
      </c>
      <c r="B37" s="35" t="s">
        <v>792</v>
      </c>
      <c r="C37" s="35" t="s">
        <v>793</v>
      </c>
      <c r="D37" s="35" t="s">
        <v>794</v>
      </c>
      <c r="E37" s="36">
        <v>1990.0</v>
      </c>
      <c r="F37" s="35" t="s">
        <v>647</v>
      </c>
      <c r="G37" s="36" t="s">
        <v>795</v>
      </c>
      <c r="H37" s="36" t="s">
        <v>796</v>
      </c>
      <c r="I37" s="37" t="s">
        <v>797</v>
      </c>
    </row>
    <row r="38">
      <c r="A38" s="34" t="s">
        <v>651</v>
      </c>
      <c r="B38" s="35" t="s">
        <v>798</v>
      </c>
      <c r="C38" s="35" t="s">
        <v>799</v>
      </c>
      <c r="D38" s="35" t="s">
        <v>800</v>
      </c>
      <c r="E38" s="36">
        <v>1990.0</v>
      </c>
      <c r="F38" s="35" t="s">
        <v>801</v>
      </c>
      <c r="G38" s="36" t="s">
        <v>802</v>
      </c>
      <c r="H38" s="36" t="s">
        <v>656</v>
      </c>
      <c r="I38" s="37" t="s">
        <v>799</v>
      </c>
    </row>
    <row r="39">
      <c r="A39" s="34" t="s">
        <v>651</v>
      </c>
      <c r="B39" s="35" t="s">
        <v>803</v>
      </c>
      <c r="C39" s="35" t="s">
        <v>804</v>
      </c>
      <c r="D39" s="35" t="s">
        <v>805</v>
      </c>
      <c r="E39" s="36">
        <v>1990.0</v>
      </c>
      <c r="F39" s="35" t="s">
        <v>806</v>
      </c>
      <c r="G39" s="36" t="s">
        <v>692</v>
      </c>
      <c r="H39" s="36" t="s">
        <v>656</v>
      </c>
      <c r="I39" s="37" t="s">
        <v>807</v>
      </c>
    </row>
    <row r="40">
      <c r="A40" s="34" t="s">
        <v>651</v>
      </c>
      <c r="B40" s="35" t="s">
        <v>808</v>
      </c>
      <c r="C40" s="35" t="s">
        <v>809</v>
      </c>
      <c r="D40" s="35" t="s">
        <v>810</v>
      </c>
      <c r="E40" s="36">
        <v>1990.0</v>
      </c>
      <c r="F40" s="35" t="s">
        <v>647</v>
      </c>
      <c r="G40" s="36" t="s">
        <v>655</v>
      </c>
      <c r="H40" s="36" t="s">
        <v>656</v>
      </c>
      <c r="I40" s="37" t="s">
        <v>809</v>
      </c>
    </row>
    <row r="41">
      <c r="A41" s="34" t="s">
        <v>651</v>
      </c>
      <c r="B41" s="35" t="s">
        <v>811</v>
      </c>
      <c r="C41" s="35" t="s">
        <v>812</v>
      </c>
      <c r="D41" s="35" t="s">
        <v>813</v>
      </c>
      <c r="E41" s="36">
        <v>1990.0</v>
      </c>
      <c r="F41" s="35" t="s">
        <v>814</v>
      </c>
      <c r="G41" s="36" t="s">
        <v>655</v>
      </c>
      <c r="H41" s="36" t="s">
        <v>656</v>
      </c>
      <c r="I41" s="37" t="s">
        <v>815</v>
      </c>
    </row>
    <row r="42">
      <c r="A42" s="34" t="s">
        <v>651</v>
      </c>
      <c r="B42" s="35" t="s">
        <v>816</v>
      </c>
      <c r="C42" s="35" t="s">
        <v>817</v>
      </c>
      <c r="D42" s="35" t="s">
        <v>818</v>
      </c>
      <c r="E42" s="36">
        <v>1990.0</v>
      </c>
      <c r="F42" s="35" t="s">
        <v>647</v>
      </c>
      <c r="G42" s="36" t="s">
        <v>655</v>
      </c>
      <c r="H42" s="36" t="s">
        <v>656</v>
      </c>
      <c r="I42" s="37" t="s">
        <v>713</v>
      </c>
    </row>
    <row r="43">
      <c r="A43" s="34" t="s">
        <v>651</v>
      </c>
      <c r="B43" s="35" t="s">
        <v>819</v>
      </c>
      <c r="C43" s="35" t="s">
        <v>384</v>
      </c>
      <c r="D43" s="35" t="s">
        <v>820</v>
      </c>
      <c r="E43" s="36">
        <v>1990.0</v>
      </c>
      <c r="F43" s="35" t="s">
        <v>647</v>
      </c>
      <c r="G43" s="36" t="s">
        <v>821</v>
      </c>
      <c r="H43" s="36" t="s">
        <v>656</v>
      </c>
      <c r="I43" s="37" t="s">
        <v>256</v>
      </c>
    </row>
    <row r="44">
      <c r="A44" s="34" t="s">
        <v>651</v>
      </c>
      <c r="B44" s="35" t="s">
        <v>822</v>
      </c>
      <c r="C44" s="35" t="s">
        <v>823</v>
      </c>
      <c r="D44" s="35" t="s">
        <v>824</v>
      </c>
      <c r="E44" s="36">
        <v>1990.0</v>
      </c>
      <c r="F44" s="35" t="s">
        <v>654</v>
      </c>
      <c r="G44" s="36" t="s">
        <v>655</v>
      </c>
      <c r="H44" s="36" t="s">
        <v>656</v>
      </c>
      <c r="I44" s="37" t="s">
        <v>256</v>
      </c>
    </row>
    <row r="45">
      <c r="A45" s="34" t="s">
        <v>651</v>
      </c>
      <c r="B45" s="35" t="s">
        <v>825</v>
      </c>
      <c r="C45" s="35" t="s">
        <v>528</v>
      </c>
      <c r="D45" s="35" t="s">
        <v>826</v>
      </c>
      <c r="E45" s="36">
        <v>1990.0</v>
      </c>
      <c r="F45" s="35" t="s">
        <v>827</v>
      </c>
      <c r="G45" s="36" t="s">
        <v>828</v>
      </c>
      <c r="H45" s="36" t="s">
        <v>702</v>
      </c>
      <c r="I45" s="37" t="s">
        <v>528</v>
      </c>
    </row>
    <row r="46">
      <c r="A46" s="34" t="s">
        <v>651</v>
      </c>
      <c r="B46" s="35" t="s">
        <v>829</v>
      </c>
      <c r="C46" s="35" t="s">
        <v>830</v>
      </c>
      <c r="D46" s="35" t="s">
        <v>831</v>
      </c>
      <c r="E46" s="36">
        <v>1990.0</v>
      </c>
      <c r="F46" s="35" t="s">
        <v>832</v>
      </c>
      <c r="G46" s="36" t="s">
        <v>833</v>
      </c>
      <c r="H46" s="36" t="s">
        <v>796</v>
      </c>
      <c r="I46" s="37" t="s">
        <v>375</v>
      </c>
    </row>
    <row r="47">
      <c r="A47" s="34" t="s">
        <v>651</v>
      </c>
      <c r="B47" s="35" t="s">
        <v>834</v>
      </c>
      <c r="C47" s="35" t="s">
        <v>835</v>
      </c>
      <c r="D47" s="35" t="s">
        <v>836</v>
      </c>
      <c r="E47" s="36">
        <v>1990.0</v>
      </c>
      <c r="F47" s="35" t="s">
        <v>801</v>
      </c>
      <c r="G47" s="36" t="s">
        <v>837</v>
      </c>
      <c r="H47" s="36" t="s">
        <v>656</v>
      </c>
      <c r="I47" s="37" t="s">
        <v>835</v>
      </c>
    </row>
    <row r="48">
      <c r="A48" s="34" t="s">
        <v>651</v>
      </c>
      <c r="B48" s="35" t="s">
        <v>838</v>
      </c>
      <c r="C48" s="35" t="s">
        <v>839</v>
      </c>
      <c r="D48" s="35" t="s">
        <v>840</v>
      </c>
      <c r="E48" s="36">
        <v>1990.0</v>
      </c>
      <c r="F48" s="35" t="s">
        <v>801</v>
      </c>
      <c r="G48" s="36" t="s">
        <v>655</v>
      </c>
      <c r="H48" s="36" t="s">
        <v>702</v>
      </c>
      <c r="I48" s="37" t="s">
        <v>841</v>
      </c>
    </row>
    <row r="49">
      <c r="A49" s="34" t="s">
        <v>651</v>
      </c>
      <c r="B49" s="35" t="s">
        <v>842</v>
      </c>
      <c r="C49" s="35" t="s">
        <v>843</v>
      </c>
      <c r="D49" s="35" t="s">
        <v>844</v>
      </c>
      <c r="E49" s="36">
        <v>1990.0</v>
      </c>
      <c r="F49" s="35" t="s">
        <v>827</v>
      </c>
      <c r="G49" s="36" t="s">
        <v>802</v>
      </c>
      <c r="H49" s="36" t="s">
        <v>656</v>
      </c>
      <c r="I49" s="37" t="s">
        <v>375</v>
      </c>
    </row>
    <row r="50">
      <c r="A50" s="34" t="s">
        <v>651</v>
      </c>
      <c r="B50" s="35" t="s">
        <v>845</v>
      </c>
      <c r="C50" s="35" t="s">
        <v>846</v>
      </c>
      <c r="D50" s="35" t="s">
        <v>847</v>
      </c>
      <c r="E50" s="36">
        <v>1990.0</v>
      </c>
      <c r="F50" s="35" t="s">
        <v>832</v>
      </c>
      <c r="G50" s="36" t="s">
        <v>848</v>
      </c>
      <c r="H50" s="36" t="s">
        <v>656</v>
      </c>
      <c r="I50" s="37" t="s">
        <v>849</v>
      </c>
    </row>
    <row r="51">
      <c r="A51" s="34" t="s">
        <v>651</v>
      </c>
      <c r="B51" s="35" t="s">
        <v>850</v>
      </c>
      <c r="C51" s="38" t="s">
        <v>851</v>
      </c>
      <c r="D51" s="35" t="s">
        <v>852</v>
      </c>
      <c r="E51" s="36">
        <v>1990.0</v>
      </c>
      <c r="F51" s="35" t="s">
        <v>654</v>
      </c>
      <c r="G51" s="36" t="s">
        <v>655</v>
      </c>
      <c r="H51" s="36" t="s">
        <v>656</v>
      </c>
      <c r="I51" s="37" t="s">
        <v>853</v>
      </c>
    </row>
    <row r="52">
      <c r="A52" s="34" t="s">
        <v>854</v>
      </c>
      <c r="B52" s="35" t="s">
        <v>855</v>
      </c>
      <c r="C52" s="35" t="s">
        <v>856</v>
      </c>
      <c r="D52" s="35" t="s">
        <v>857</v>
      </c>
      <c r="E52" s="36">
        <v>2000.0</v>
      </c>
      <c r="F52" s="35" t="s">
        <v>858</v>
      </c>
      <c r="G52" s="36" t="s">
        <v>655</v>
      </c>
      <c r="H52" s="36" t="s">
        <v>656</v>
      </c>
      <c r="I52" s="37" t="s">
        <v>856</v>
      </c>
    </row>
    <row r="53">
      <c r="A53" s="34" t="s">
        <v>854</v>
      </c>
      <c r="B53" s="35" t="s">
        <v>859</v>
      </c>
      <c r="C53" s="35" t="s">
        <v>860</v>
      </c>
      <c r="D53" s="35" t="s">
        <v>861</v>
      </c>
      <c r="E53" s="36">
        <v>2000.0</v>
      </c>
      <c r="F53" s="35" t="s">
        <v>858</v>
      </c>
      <c r="G53" s="36" t="s">
        <v>862</v>
      </c>
      <c r="H53" s="36" t="s">
        <v>656</v>
      </c>
      <c r="I53" s="37" t="s">
        <v>863</v>
      </c>
    </row>
    <row r="54">
      <c r="A54" s="34" t="s">
        <v>854</v>
      </c>
      <c r="B54" s="35" t="s">
        <v>864</v>
      </c>
      <c r="C54" s="35" t="s">
        <v>433</v>
      </c>
      <c r="D54" s="35" t="s">
        <v>865</v>
      </c>
      <c r="E54" s="36">
        <v>2000.0</v>
      </c>
      <c r="F54" s="35" t="s">
        <v>748</v>
      </c>
      <c r="G54" s="36" t="s">
        <v>866</v>
      </c>
      <c r="H54" s="36" t="s">
        <v>656</v>
      </c>
      <c r="I54" s="37" t="s">
        <v>867</v>
      </c>
    </row>
    <row r="55">
      <c r="A55" s="34" t="s">
        <v>854</v>
      </c>
      <c r="B55" s="35" t="s">
        <v>868</v>
      </c>
      <c r="C55" s="35" t="s">
        <v>869</v>
      </c>
      <c r="D55" s="35" t="s">
        <v>870</v>
      </c>
      <c r="E55" s="36">
        <v>2000.0</v>
      </c>
      <c r="F55" s="35" t="s">
        <v>858</v>
      </c>
      <c r="G55" s="36" t="s">
        <v>655</v>
      </c>
      <c r="H55" s="36" t="s">
        <v>656</v>
      </c>
      <c r="I55" s="37" t="s">
        <v>256</v>
      </c>
    </row>
    <row r="56">
      <c r="A56" s="34" t="s">
        <v>854</v>
      </c>
      <c r="B56" s="35" t="s">
        <v>871</v>
      </c>
      <c r="C56" s="35" t="s">
        <v>447</v>
      </c>
      <c r="D56" s="35" t="s">
        <v>872</v>
      </c>
      <c r="E56" s="36">
        <v>2000.0</v>
      </c>
      <c r="F56" s="35" t="s">
        <v>729</v>
      </c>
      <c r="G56" s="36" t="s">
        <v>873</v>
      </c>
      <c r="H56" s="36" t="s">
        <v>702</v>
      </c>
      <c r="I56" s="37" t="s">
        <v>874</v>
      </c>
    </row>
    <row r="57">
      <c r="A57" s="34" t="s">
        <v>854</v>
      </c>
      <c r="B57" s="35" t="s">
        <v>875</v>
      </c>
      <c r="C57" s="35" t="s">
        <v>450</v>
      </c>
      <c r="D57" s="35" t="s">
        <v>876</v>
      </c>
      <c r="E57" s="36">
        <v>2000.0</v>
      </c>
      <c r="F57" s="35" t="s">
        <v>858</v>
      </c>
      <c r="G57" s="36" t="s">
        <v>877</v>
      </c>
      <c r="H57" s="36" t="s">
        <v>656</v>
      </c>
      <c r="I57" s="37" t="s">
        <v>588</v>
      </c>
    </row>
    <row r="58">
      <c r="A58" s="34" t="s">
        <v>854</v>
      </c>
      <c r="B58" s="35" t="s">
        <v>878</v>
      </c>
      <c r="C58" s="35" t="s">
        <v>459</v>
      </c>
      <c r="D58" s="35" t="s">
        <v>879</v>
      </c>
      <c r="E58" s="36">
        <v>2000.0</v>
      </c>
      <c r="F58" s="35" t="s">
        <v>729</v>
      </c>
      <c r="G58" s="36" t="s">
        <v>880</v>
      </c>
      <c r="H58" s="36" t="s">
        <v>656</v>
      </c>
      <c r="I58" s="37" t="s">
        <v>463</v>
      </c>
    </row>
    <row r="59">
      <c r="A59" s="34" t="s">
        <v>854</v>
      </c>
      <c r="B59" s="35" t="s">
        <v>471</v>
      </c>
      <c r="C59" s="35" t="s">
        <v>469</v>
      </c>
      <c r="D59" s="35" t="s">
        <v>881</v>
      </c>
      <c r="E59" s="36">
        <v>2000.0</v>
      </c>
      <c r="F59" s="35" t="s">
        <v>858</v>
      </c>
      <c r="G59" s="36" t="s">
        <v>882</v>
      </c>
      <c r="H59" s="36" t="s">
        <v>656</v>
      </c>
      <c r="I59" s="37" t="s">
        <v>883</v>
      </c>
    </row>
    <row r="60">
      <c r="A60" s="34" t="s">
        <v>854</v>
      </c>
      <c r="B60" s="35" t="s">
        <v>884</v>
      </c>
      <c r="C60" s="35" t="s">
        <v>885</v>
      </c>
      <c r="D60" s="35" t="s">
        <v>886</v>
      </c>
      <c r="E60" s="36">
        <v>2000.0</v>
      </c>
      <c r="F60" s="35" t="s">
        <v>647</v>
      </c>
      <c r="G60" s="36" t="s">
        <v>655</v>
      </c>
      <c r="H60" s="36" t="s">
        <v>656</v>
      </c>
      <c r="I60" s="37" t="s">
        <v>663</v>
      </c>
    </row>
    <row r="61">
      <c r="A61" s="34" t="s">
        <v>854</v>
      </c>
      <c r="B61" s="35" t="s">
        <v>887</v>
      </c>
      <c r="C61" s="35" t="s">
        <v>888</v>
      </c>
      <c r="D61" s="35" t="s">
        <v>889</v>
      </c>
      <c r="E61" s="36">
        <v>2000.0</v>
      </c>
      <c r="F61" s="35" t="s">
        <v>890</v>
      </c>
      <c r="G61" s="36" t="s">
        <v>655</v>
      </c>
      <c r="H61" s="36" t="s">
        <v>656</v>
      </c>
      <c r="I61" s="37" t="s">
        <v>888</v>
      </c>
    </row>
    <row r="62">
      <c r="A62" s="34" t="s">
        <v>854</v>
      </c>
      <c r="B62" s="35" t="s">
        <v>891</v>
      </c>
      <c r="C62" s="35" t="s">
        <v>892</v>
      </c>
      <c r="D62" s="35" t="s">
        <v>893</v>
      </c>
      <c r="E62" s="36">
        <v>2000.0</v>
      </c>
      <c r="F62" s="35" t="s">
        <v>858</v>
      </c>
      <c r="G62" s="36" t="s">
        <v>655</v>
      </c>
      <c r="H62" s="36" t="s">
        <v>656</v>
      </c>
      <c r="I62" s="37" t="s">
        <v>894</v>
      </c>
    </row>
    <row r="63">
      <c r="A63" s="34" t="s">
        <v>854</v>
      </c>
      <c r="B63" s="35" t="s">
        <v>895</v>
      </c>
      <c r="C63" s="35" t="s">
        <v>462</v>
      </c>
      <c r="D63" s="35" t="s">
        <v>896</v>
      </c>
      <c r="E63" s="36">
        <v>2000.0</v>
      </c>
      <c r="F63" s="35" t="s">
        <v>647</v>
      </c>
      <c r="G63" s="36" t="s">
        <v>897</v>
      </c>
      <c r="H63" s="36" t="s">
        <v>656</v>
      </c>
      <c r="I63" s="37" t="s">
        <v>463</v>
      </c>
    </row>
    <row r="64">
      <c r="A64" s="34" t="s">
        <v>854</v>
      </c>
      <c r="B64" s="35" t="s">
        <v>898</v>
      </c>
      <c r="C64" s="35" t="s">
        <v>899</v>
      </c>
      <c r="D64" s="35" t="s">
        <v>900</v>
      </c>
      <c r="E64" s="36">
        <v>2000.0</v>
      </c>
      <c r="F64" s="35" t="s">
        <v>729</v>
      </c>
      <c r="G64" s="36" t="s">
        <v>655</v>
      </c>
      <c r="H64" s="36" t="s">
        <v>656</v>
      </c>
      <c r="I64" s="37" t="s">
        <v>663</v>
      </c>
    </row>
    <row r="65">
      <c r="A65" s="34" t="s">
        <v>854</v>
      </c>
      <c r="B65" s="35" t="s">
        <v>445</v>
      </c>
      <c r="C65" s="35" t="s">
        <v>443</v>
      </c>
      <c r="D65" s="35" t="s">
        <v>901</v>
      </c>
      <c r="E65" s="36">
        <v>2000.0</v>
      </c>
      <c r="F65" s="35" t="s">
        <v>647</v>
      </c>
      <c r="G65" s="36" t="s">
        <v>692</v>
      </c>
      <c r="H65" s="36" t="s">
        <v>656</v>
      </c>
      <c r="I65" s="37" t="s">
        <v>902</v>
      </c>
    </row>
    <row r="66">
      <c r="A66" s="34" t="s">
        <v>854</v>
      </c>
      <c r="B66" s="35" t="s">
        <v>903</v>
      </c>
      <c r="C66" s="35" t="s">
        <v>483</v>
      </c>
      <c r="D66" s="35" t="s">
        <v>904</v>
      </c>
      <c r="E66" s="36">
        <v>2000.0</v>
      </c>
      <c r="F66" s="35" t="s">
        <v>905</v>
      </c>
      <c r="G66" s="36" t="s">
        <v>906</v>
      </c>
      <c r="H66" s="36" t="s">
        <v>656</v>
      </c>
      <c r="I66" s="37" t="s">
        <v>483</v>
      </c>
    </row>
    <row r="67">
      <c r="A67" s="34" t="s">
        <v>854</v>
      </c>
      <c r="B67" s="35" t="s">
        <v>907</v>
      </c>
      <c r="C67" s="35" t="s">
        <v>908</v>
      </c>
      <c r="D67" s="35" t="s">
        <v>909</v>
      </c>
      <c r="E67" s="36">
        <v>2000.0</v>
      </c>
      <c r="F67" s="35" t="s">
        <v>647</v>
      </c>
      <c r="G67" s="36" t="s">
        <v>910</v>
      </c>
      <c r="H67" s="36" t="s">
        <v>656</v>
      </c>
      <c r="I67" s="37" t="s">
        <v>908</v>
      </c>
    </row>
    <row r="68">
      <c r="A68" s="34" t="s">
        <v>854</v>
      </c>
      <c r="B68" s="35" t="s">
        <v>911</v>
      </c>
      <c r="C68" s="35" t="s">
        <v>912</v>
      </c>
      <c r="D68" s="35" t="s">
        <v>913</v>
      </c>
      <c r="E68" s="36">
        <v>2000.0</v>
      </c>
      <c r="F68" s="35" t="s">
        <v>729</v>
      </c>
      <c r="G68" s="36" t="s">
        <v>655</v>
      </c>
      <c r="H68" s="36" t="s">
        <v>656</v>
      </c>
      <c r="I68" s="37" t="s">
        <v>663</v>
      </c>
    </row>
    <row r="69">
      <c r="A69" s="34" t="s">
        <v>854</v>
      </c>
      <c r="B69" s="35" t="s">
        <v>914</v>
      </c>
      <c r="C69" s="35" t="s">
        <v>915</v>
      </c>
      <c r="D69" s="35" t="s">
        <v>916</v>
      </c>
      <c r="E69" s="36">
        <v>2000.0</v>
      </c>
      <c r="F69" s="35" t="s">
        <v>647</v>
      </c>
      <c r="G69" s="36" t="s">
        <v>917</v>
      </c>
      <c r="H69" s="36" t="s">
        <v>656</v>
      </c>
      <c r="I69" s="37" t="s">
        <v>915</v>
      </c>
    </row>
    <row r="70">
      <c r="A70" s="34" t="s">
        <v>854</v>
      </c>
      <c r="B70" s="35" t="s">
        <v>918</v>
      </c>
      <c r="C70" s="35" t="s">
        <v>919</v>
      </c>
      <c r="D70" s="35" t="s">
        <v>920</v>
      </c>
      <c r="E70" s="36">
        <v>2000.0</v>
      </c>
      <c r="F70" s="35" t="s">
        <v>832</v>
      </c>
      <c r="G70" s="36" t="s">
        <v>655</v>
      </c>
      <c r="H70" s="36" t="s">
        <v>656</v>
      </c>
      <c r="I70" s="37" t="s">
        <v>921</v>
      </c>
    </row>
    <row r="71">
      <c r="A71" s="34" t="s">
        <v>854</v>
      </c>
      <c r="B71" s="35" t="s">
        <v>922</v>
      </c>
      <c r="C71" s="35" t="s">
        <v>583</v>
      </c>
      <c r="D71" s="35" t="s">
        <v>923</v>
      </c>
      <c r="E71" s="36">
        <v>2000.0</v>
      </c>
      <c r="F71" s="35" t="s">
        <v>832</v>
      </c>
      <c r="G71" s="36" t="s">
        <v>465</v>
      </c>
      <c r="H71" s="36" t="s">
        <v>656</v>
      </c>
      <c r="I71" s="37" t="s">
        <v>256</v>
      </c>
    </row>
    <row r="72">
      <c r="A72" s="34" t="s">
        <v>854</v>
      </c>
      <c r="B72" s="35" t="s">
        <v>924</v>
      </c>
      <c r="C72" s="35" t="s">
        <v>925</v>
      </c>
      <c r="D72" s="35" t="s">
        <v>926</v>
      </c>
      <c r="E72" s="36">
        <v>2000.0</v>
      </c>
      <c r="F72" s="35" t="s">
        <v>647</v>
      </c>
      <c r="G72" s="36" t="s">
        <v>927</v>
      </c>
      <c r="H72" s="36" t="s">
        <v>656</v>
      </c>
      <c r="I72" s="37" t="s">
        <v>463</v>
      </c>
    </row>
    <row r="73">
      <c r="A73" s="34" t="s">
        <v>854</v>
      </c>
      <c r="B73" s="35" t="s">
        <v>928</v>
      </c>
      <c r="C73" s="35" t="s">
        <v>491</v>
      </c>
      <c r="D73" s="35" t="s">
        <v>929</v>
      </c>
      <c r="E73" s="36">
        <v>2010.0</v>
      </c>
      <c r="F73" s="35" t="s">
        <v>647</v>
      </c>
      <c r="G73" s="36" t="s">
        <v>930</v>
      </c>
      <c r="H73" s="36" t="s">
        <v>656</v>
      </c>
      <c r="I73" s="37" t="s">
        <v>588</v>
      </c>
    </row>
    <row r="74">
      <c r="A74" s="34" t="s">
        <v>854</v>
      </c>
      <c r="B74" s="35" t="s">
        <v>931</v>
      </c>
      <c r="C74" s="35" t="s">
        <v>496</v>
      </c>
      <c r="D74" s="35" t="s">
        <v>932</v>
      </c>
      <c r="E74" s="36">
        <v>2010.0</v>
      </c>
      <c r="F74" s="35" t="s">
        <v>858</v>
      </c>
      <c r="G74" s="36" t="s">
        <v>655</v>
      </c>
      <c r="H74" s="36" t="s">
        <v>656</v>
      </c>
      <c r="I74" s="37" t="s">
        <v>588</v>
      </c>
    </row>
    <row r="75">
      <c r="A75" s="34" t="s">
        <v>854</v>
      </c>
      <c r="B75" s="35" t="s">
        <v>933</v>
      </c>
      <c r="C75" s="35" t="s">
        <v>934</v>
      </c>
      <c r="D75" s="35" t="s">
        <v>935</v>
      </c>
      <c r="E75" s="36">
        <v>2010.0</v>
      </c>
      <c r="F75" s="35" t="s">
        <v>647</v>
      </c>
      <c r="G75" s="36" t="s">
        <v>936</v>
      </c>
      <c r="H75" s="36" t="s">
        <v>656</v>
      </c>
      <c r="I75" s="37" t="s">
        <v>934</v>
      </c>
    </row>
    <row r="76">
      <c r="A76" s="34" t="s">
        <v>854</v>
      </c>
      <c r="B76" s="35" t="s">
        <v>933</v>
      </c>
      <c r="C76" s="35" t="s">
        <v>937</v>
      </c>
      <c r="D76" s="35" t="s">
        <v>938</v>
      </c>
      <c r="E76" s="36">
        <v>2010.0</v>
      </c>
      <c r="F76" s="35" t="s">
        <v>647</v>
      </c>
      <c r="G76" s="36" t="s">
        <v>936</v>
      </c>
      <c r="H76" s="36" t="s">
        <v>656</v>
      </c>
      <c r="I76" s="37" t="s">
        <v>937</v>
      </c>
    </row>
    <row r="77">
      <c r="A77" s="34" t="s">
        <v>854</v>
      </c>
      <c r="B77" s="35" t="s">
        <v>939</v>
      </c>
      <c r="C77" s="35" t="s">
        <v>940</v>
      </c>
      <c r="D77" s="35" t="s">
        <v>941</v>
      </c>
      <c r="E77" s="36">
        <v>2010.0</v>
      </c>
      <c r="F77" s="35" t="s">
        <v>647</v>
      </c>
      <c r="G77" s="36" t="s">
        <v>655</v>
      </c>
      <c r="H77" s="36" t="s">
        <v>656</v>
      </c>
      <c r="I77" s="37" t="s">
        <v>940</v>
      </c>
    </row>
    <row r="78">
      <c r="A78" s="34" t="s">
        <v>854</v>
      </c>
      <c r="B78" s="35" t="s">
        <v>942</v>
      </c>
      <c r="C78" s="35" t="s">
        <v>943</v>
      </c>
      <c r="D78" s="35" t="s">
        <v>944</v>
      </c>
      <c r="E78" s="36">
        <v>2010.0</v>
      </c>
      <c r="F78" s="35" t="s">
        <v>858</v>
      </c>
      <c r="G78" s="36" t="s">
        <v>945</v>
      </c>
      <c r="H78" s="36" t="s">
        <v>656</v>
      </c>
      <c r="I78" s="37" t="s">
        <v>946</v>
      </c>
    </row>
    <row r="79">
      <c r="A79" s="34" t="s">
        <v>854</v>
      </c>
      <c r="B79" s="35" t="s">
        <v>947</v>
      </c>
      <c r="C79" s="35" t="s">
        <v>948</v>
      </c>
      <c r="D79" s="35" t="s">
        <v>949</v>
      </c>
      <c r="E79" s="36">
        <v>2010.0</v>
      </c>
      <c r="F79" s="35" t="s">
        <v>950</v>
      </c>
      <c r="G79" s="36" t="s">
        <v>951</v>
      </c>
      <c r="H79" s="36" t="s">
        <v>656</v>
      </c>
      <c r="I79" s="37" t="s">
        <v>377</v>
      </c>
    </row>
    <row r="80">
      <c r="A80" s="34" t="s">
        <v>854</v>
      </c>
      <c r="B80" s="35" t="s">
        <v>952</v>
      </c>
      <c r="C80" s="35" t="s">
        <v>953</v>
      </c>
      <c r="D80" s="35" t="s">
        <v>954</v>
      </c>
      <c r="E80" s="36">
        <v>2010.0</v>
      </c>
      <c r="F80" s="35" t="s">
        <v>955</v>
      </c>
      <c r="G80" s="36" t="s">
        <v>956</v>
      </c>
      <c r="H80" s="36" t="s">
        <v>656</v>
      </c>
      <c r="I80" s="37" t="s">
        <v>953</v>
      </c>
    </row>
    <row r="81">
      <c r="A81" s="34" t="s">
        <v>854</v>
      </c>
      <c r="B81" s="35" t="s">
        <v>957</v>
      </c>
      <c r="C81" s="35" t="s">
        <v>958</v>
      </c>
      <c r="D81" s="35" t="s">
        <v>959</v>
      </c>
      <c r="E81" s="36">
        <v>2000.0</v>
      </c>
      <c r="F81" s="35" t="s">
        <v>748</v>
      </c>
      <c r="G81" s="36" t="s">
        <v>960</v>
      </c>
      <c r="H81" s="36" t="s">
        <v>656</v>
      </c>
      <c r="I81" s="37" t="s">
        <v>463</v>
      </c>
    </row>
    <row r="82">
      <c r="A82" s="34" t="s">
        <v>854</v>
      </c>
      <c r="B82" s="35" t="s">
        <v>961</v>
      </c>
      <c r="C82" s="35" t="s">
        <v>962</v>
      </c>
      <c r="D82" s="35" t="s">
        <v>963</v>
      </c>
      <c r="E82" s="36">
        <v>2010.0</v>
      </c>
      <c r="F82" s="35" t="s">
        <v>647</v>
      </c>
      <c r="G82" s="36" t="s">
        <v>964</v>
      </c>
      <c r="H82" s="36" t="s">
        <v>656</v>
      </c>
      <c r="I82" s="37" t="s">
        <v>965</v>
      </c>
    </row>
    <row r="83">
      <c r="A83" s="34" t="s">
        <v>854</v>
      </c>
      <c r="B83" s="35" t="s">
        <v>966</v>
      </c>
      <c r="C83" s="35" t="s">
        <v>967</v>
      </c>
      <c r="D83" s="35" t="s">
        <v>968</v>
      </c>
      <c r="E83" s="36">
        <v>2010.0</v>
      </c>
      <c r="F83" s="35" t="s">
        <v>858</v>
      </c>
      <c r="G83" s="36" t="s">
        <v>969</v>
      </c>
      <c r="H83" s="36" t="s">
        <v>656</v>
      </c>
      <c r="I83" s="37" t="s">
        <v>967</v>
      </c>
    </row>
    <row r="84">
      <c r="A84" s="34" t="s">
        <v>854</v>
      </c>
      <c r="B84" s="35" t="s">
        <v>970</v>
      </c>
      <c r="C84" s="35" t="s">
        <v>971</v>
      </c>
      <c r="D84" s="35" t="s">
        <v>972</v>
      </c>
      <c r="E84" s="36">
        <v>2010.0</v>
      </c>
      <c r="F84" s="35" t="s">
        <v>729</v>
      </c>
      <c r="G84" s="36" t="s">
        <v>945</v>
      </c>
      <c r="H84" s="36" t="s">
        <v>656</v>
      </c>
      <c r="I84" s="37" t="s">
        <v>469</v>
      </c>
    </row>
    <row r="85">
      <c r="A85" s="34" t="s">
        <v>854</v>
      </c>
      <c r="B85" s="35" t="s">
        <v>973</v>
      </c>
      <c r="C85" s="35" t="s">
        <v>974</v>
      </c>
      <c r="D85" s="35" t="s">
        <v>975</v>
      </c>
      <c r="E85" s="36">
        <v>2000.0</v>
      </c>
      <c r="F85" s="35" t="s">
        <v>647</v>
      </c>
      <c r="G85" s="36" t="s">
        <v>910</v>
      </c>
      <c r="H85" s="36" t="s">
        <v>656</v>
      </c>
      <c r="I85" s="37" t="s">
        <v>974</v>
      </c>
    </row>
    <row r="86">
      <c r="A86" s="34" t="s">
        <v>854</v>
      </c>
      <c r="B86" s="35" t="s">
        <v>976</v>
      </c>
      <c r="C86" s="35" t="s">
        <v>977</v>
      </c>
      <c r="D86" s="35" t="s">
        <v>978</v>
      </c>
      <c r="E86" s="36">
        <v>2010.0</v>
      </c>
      <c r="F86" s="35" t="s">
        <v>647</v>
      </c>
      <c r="G86" s="36" t="s">
        <v>979</v>
      </c>
      <c r="H86" s="36" t="s">
        <v>656</v>
      </c>
      <c r="I86" s="37" t="s">
        <v>980</v>
      </c>
    </row>
    <row r="87">
      <c r="A87" s="34" t="s">
        <v>854</v>
      </c>
      <c r="B87" s="35" t="s">
        <v>981</v>
      </c>
      <c r="C87" s="35" t="s">
        <v>982</v>
      </c>
      <c r="D87" s="35" t="s">
        <v>983</v>
      </c>
      <c r="E87" s="36">
        <v>2010.0</v>
      </c>
      <c r="F87" s="35" t="s">
        <v>984</v>
      </c>
      <c r="G87" s="36" t="s">
        <v>979</v>
      </c>
      <c r="H87" s="36" t="s">
        <v>656</v>
      </c>
      <c r="I87" s="37" t="s">
        <v>985</v>
      </c>
    </row>
    <row r="88">
      <c r="A88" s="34" t="s">
        <v>854</v>
      </c>
      <c r="B88" s="35" t="s">
        <v>986</v>
      </c>
      <c r="C88" s="35" t="s">
        <v>504</v>
      </c>
      <c r="D88" s="35" t="s">
        <v>987</v>
      </c>
      <c r="E88" s="36">
        <v>2010.0</v>
      </c>
      <c r="F88" s="35" t="s">
        <v>647</v>
      </c>
      <c r="G88" s="36" t="s">
        <v>988</v>
      </c>
      <c r="H88" s="36" t="s">
        <v>656</v>
      </c>
      <c r="I88" s="37" t="s">
        <v>504</v>
      </c>
    </row>
    <row r="89">
      <c r="A89" s="34" t="s">
        <v>854</v>
      </c>
      <c r="B89" s="35" t="s">
        <v>989</v>
      </c>
      <c r="C89" s="35" t="s">
        <v>990</v>
      </c>
      <c r="D89" s="35" t="s">
        <v>991</v>
      </c>
      <c r="E89" s="36">
        <v>2010.0</v>
      </c>
      <c r="F89" s="35" t="s">
        <v>729</v>
      </c>
      <c r="G89" s="36" t="s">
        <v>979</v>
      </c>
      <c r="H89" s="36" t="s">
        <v>656</v>
      </c>
      <c r="I89" s="37" t="s">
        <v>990</v>
      </c>
    </row>
    <row r="90">
      <c r="A90" s="34" t="s">
        <v>854</v>
      </c>
      <c r="B90" s="35" t="s">
        <v>992</v>
      </c>
      <c r="C90" s="35" t="s">
        <v>993</v>
      </c>
      <c r="D90" s="35" t="s">
        <v>994</v>
      </c>
      <c r="E90" s="36">
        <v>2010.0</v>
      </c>
      <c r="F90" s="35" t="s">
        <v>858</v>
      </c>
      <c r="G90" s="36" t="s">
        <v>995</v>
      </c>
      <c r="H90" s="36" t="s">
        <v>656</v>
      </c>
      <c r="I90" s="37" t="s">
        <v>549</v>
      </c>
    </row>
    <row r="91">
      <c r="A91" s="34" t="s">
        <v>854</v>
      </c>
      <c r="B91" s="35" t="s">
        <v>996</v>
      </c>
      <c r="C91" s="35" t="s">
        <v>997</v>
      </c>
      <c r="D91" s="35" t="s">
        <v>998</v>
      </c>
      <c r="E91" s="36">
        <v>2010.0</v>
      </c>
      <c r="F91" s="35" t="s">
        <v>647</v>
      </c>
      <c r="G91" s="36" t="s">
        <v>945</v>
      </c>
      <c r="H91" s="36" t="s">
        <v>656</v>
      </c>
      <c r="I91" s="37" t="s">
        <v>997</v>
      </c>
    </row>
    <row r="92">
      <c r="A92" s="34" t="s">
        <v>854</v>
      </c>
      <c r="B92" s="35" t="s">
        <v>999</v>
      </c>
      <c r="C92" s="35" t="s">
        <v>1000</v>
      </c>
      <c r="D92" s="35" t="s">
        <v>1001</v>
      </c>
      <c r="E92" s="36">
        <v>2010.0</v>
      </c>
      <c r="F92" s="35" t="s">
        <v>729</v>
      </c>
      <c r="G92" s="36" t="s">
        <v>1002</v>
      </c>
      <c r="H92" s="36" t="s">
        <v>702</v>
      </c>
      <c r="I92" s="37" t="s">
        <v>1000</v>
      </c>
    </row>
    <row r="93">
      <c r="A93" s="34" t="s">
        <v>854</v>
      </c>
      <c r="B93" s="35" t="s">
        <v>1003</v>
      </c>
      <c r="C93" s="35" t="s">
        <v>1004</v>
      </c>
      <c r="D93" s="35" t="s">
        <v>1005</v>
      </c>
      <c r="E93" s="36">
        <v>2020.0</v>
      </c>
      <c r="F93" s="35" t="s">
        <v>1006</v>
      </c>
      <c r="G93" s="36" t="s">
        <v>1007</v>
      </c>
      <c r="H93" s="36" t="s">
        <v>656</v>
      </c>
      <c r="I93" s="37" t="s">
        <v>1008</v>
      </c>
    </row>
    <row r="94">
      <c r="A94" s="34" t="s">
        <v>854</v>
      </c>
      <c r="B94" s="35" t="s">
        <v>1009</v>
      </c>
      <c r="C94" s="35" t="s">
        <v>1010</v>
      </c>
      <c r="D94" s="35" t="s">
        <v>1011</v>
      </c>
      <c r="E94" s="36">
        <v>2000.0</v>
      </c>
      <c r="F94" s="35" t="s">
        <v>1012</v>
      </c>
      <c r="G94" s="36" t="s">
        <v>655</v>
      </c>
      <c r="H94" s="36" t="s">
        <v>656</v>
      </c>
      <c r="I94" s="37" t="s">
        <v>1010</v>
      </c>
    </row>
    <row r="95">
      <c r="A95" s="34" t="s">
        <v>854</v>
      </c>
      <c r="B95" s="35" t="s">
        <v>1013</v>
      </c>
      <c r="C95" s="35" t="s">
        <v>1014</v>
      </c>
      <c r="D95" s="35" t="s">
        <v>1015</v>
      </c>
      <c r="E95" s="36">
        <v>2000.0</v>
      </c>
      <c r="F95" s="35" t="s">
        <v>1016</v>
      </c>
      <c r="G95" s="36" t="s">
        <v>655</v>
      </c>
      <c r="H95" s="36" t="s">
        <v>656</v>
      </c>
      <c r="I95" s="37" t="s">
        <v>1014</v>
      </c>
    </row>
    <row r="96">
      <c r="A96" s="34" t="s">
        <v>854</v>
      </c>
      <c r="B96" s="35" t="s">
        <v>1017</v>
      </c>
      <c r="C96" s="38" t="s">
        <v>1018</v>
      </c>
      <c r="D96" s="35" t="s">
        <v>1019</v>
      </c>
      <c r="E96" s="36">
        <v>2000.0</v>
      </c>
      <c r="F96" s="35" t="s">
        <v>1020</v>
      </c>
      <c r="G96" s="36" t="s">
        <v>655</v>
      </c>
      <c r="H96" s="36" t="s">
        <v>656</v>
      </c>
      <c r="I96" s="39" t="s">
        <v>1018</v>
      </c>
    </row>
    <row r="97">
      <c r="A97" s="34" t="s">
        <v>854</v>
      </c>
      <c r="B97" s="35" t="s">
        <v>1021</v>
      </c>
      <c r="C97" s="35" t="s">
        <v>1022</v>
      </c>
      <c r="D97" s="35" t="s">
        <v>1023</v>
      </c>
      <c r="E97" s="36">
        <v>2010.0</v>
      </c>
      <c r="F97" s="35" t="s">
        <v>1024</v>
      </c>
      <c r="G97" s="36" t="s">
        <v>1025</v>
      </c>
      <c r="H97" s="36" t="s">
        <v>656</v>
      </c>
      <c r="I97" s="37" t="s">
        <v>1022</v>
      </c>
    </row>
    <row r="98">
      <c r="A98" s="34" t="s">
        <v>854</v>
      </c>
      <c r="B98" s="35" t="s">
        <v>1026</v>
      </c>
      <c r="C98" s="35" t="s">
        <v>1027</v>
      </c>
      <c r="D98" s="35" t="s">
        <v>1028</v>
      </c>
      <c r="E98" s="36">
        <v>2010.0</v>
      </c>
      <c r="F98" s="35" t="s">
        <v>1024</v>
      </c>
      <c r="G98" s="36" t="s">
        <v>945</v>
      </c>
      <c r="H98" s="36" t="s">
        <v>656</v>
      </c>
      <c r="I98" s="37" t="s">
        <v>1027</v>
      </c>
    </row>
    <row r="99">
      <c r="A99" s="34" t="s">
        <v>854</v>
      </c>
      <c r="B99" s="35" t="s">
        <v>1029</v>
      </c>
      <c r="C99" s="35" t="s">
        <v>1030</v>
      </c>
      <c r="D99" s="35" t="s">
        <v>1031</v>
      </c>
      <c r="E99" s="36">
        <v>2000.0</v>
      </c>
      <c r="F99" s="35" t="s">
        <v>647</v>
      </c>
      <c r="G99" s="36" t="s">
        <v>945</v>
      </c>
      <c r="H99" s="36" t="s">
        <v>656</v>
      </c>
      <c r="I99" s="37" t="s">
        <v>1030</v>
      </c>
    </row>
    <row r="100">
      <c r="A100" s="34" t="s">
        <v>854</v>
      </c>
      <c r="B100" s="35" t="s">
        <v>1032</v>
      </c>
      <c r="C100" s="35" t="s">
        <v>1033</v>
      </c>
      <c r="D100" s="35" t="s">
        <v>1034</v>
      </c>
      <c r="E100" s="36">
        <v>2000.0</v>
      </c>
      <c r="F100" s="35" t="s">
        <v>734</v>
      </c>
      <c r="G100" s="36" t="s">
        <v>1035</v>
      </c>
      <c r="H100" s="36" t="s">
        <v>656</v>
      </c>
      <c r="I100" s="37" t="s">
        <v>1033</v>
      </c>
    </row>
    <row r="101">
      <c r="A101" s="34" t="s">
        <v>854</v>
      </c>
      <c r="B101" s="35" t="s">
        <v>1036</v>
      </c>
      <c r="C101" s="35" t="s">
        <v>1037</v>
      </c>
      <c r="D101" s="35" t="s">
        <v>1038</v>
      </c>
      <c r="E101" s="36">
        <v>2000.0</v>
      </c>
      <c r="F101" s="35" t="s">
        <v>647</v>
      </c>
      <c r="G101" s="36" t="s">
        <v>945</v>
      </c>
      <c r="H101" s="36" t="s">
        <v>656</v>
      </c>
      <c r="I101" s="37" t="s">
        <v>266</v>
      </c>
    </row>
    <row r="102">
      <c r="A102" s="34" t="s">
        <v>854</v>
      </c>
      <c r="B102" s="35" t="s">
        <v>1039</v>
      </c>
      <c r="C102" s="35" t="s">
        <v>1040</v>
      </c>
      <c r="D102" s="35" t="s">
        <v>1041</v>
      </c>
      <c r="E102" s="36">
        <v>2000.0</v>
      </c>
      <c r="F102" s="35" t="s">
        <v>832</v>
      </c>
      <c r="G102" s="36" t="s">
        <v>910</v>
      </c>
      <c r="H102" s="36" t="s">
        <v>656</v>
      </c>
      <c r="I102" s="37" t="s">
        <v>377</v>
      </c>
    </row>
    <row r="103">
      <c r="A103" s="34" t="s">
        <v>854</v>
      </c>
      <c r="B103" s="35" t="s">
        <v>1042</v>
      </c>
      <c r="C103" s="35" t="s">
        <v>985</v>
      </c>
      <c r="D103" s="35" t="s">
        <v>1043</v>
      </c>
      <c r="E103" s="36">
        <v>2000.0</v>
      </c>
      <c r="F103" s="35" t="s">
        <v>82</v>
      </c>
      <c r="G103" s="36" t="s">
        <v>910</v>
      </c>
      <c r="H103" s="36" t="s">
        <v>656</v>
      </c>
      <c r="I103" s="37" t="s">
        <v>985</v>
      </c>
    </row>
    <row r="104">
      <c r="A104" s="34" t="s">
        <v>854</v>
      </c>
      <c r="B104" s="35" t="s">
        <v>1044</v>
      </c>
      <c r="C104" s="35" t="s">
        <v>1045</v>
      </c>
      <c r="D104" s="35" t="s">
        <v>1046</v>
      </c>
      <c r="E104" s="36">
        <v>2000.0</v>
      </c>
      <c r="F104" s="35" t="s">
        <v>647</v>
      </c>
      <c r="G104" s="36" t="s">
        <v>655</v>
      </c>
      <c r="H104" s="36" t="s">
        <v>656</v>
      </c>
      <c r="I104" s="37" t="s">
        <v>1045</v>
      </c>
    </row>
    <row r="105">
      <c r="A105" s="34" t="s">
        <v>854</v>
      </c>
      <c r="B105" s="35" t="s">
        <v>1047</v>
      </c>
      <c r="C105" s="35" t="s">
        <v>1048</v>
      </c>
      <c r="D105" s="35" t="s">
        <v>1049</v>
      </c>
      <c r="E105" s="36">
        <v>2010.0</v>
      </c>
      <c r="F105" s="35" t="s">
        <v>647</v>
      </c>
      <c r="G105" s="36" t="s">
        <v>945</v>
      </c>
      <c r="H105" s="36" t="s">
        <v>656</v>
      </c>
      <c r="I105" s="37" t="s">
        <v>1050</v>
      </c>
    </row>
    <row r="106">
      <c r="A106" s="34" t="s">
        <v>854</v>
      </c>
      <c r="B106" s="35" t="s">
        <v>1051</v>
      </c>
      <c r="C106" s="35" t="s">
        <v>1052</v>
      </c>
      <c r="D106" s="35" t="s">
        <v>1053</v>
      </c>
      <c r="E106" s="36">
        <v>2000.0</v>
      </c>
      <c r="F106" s="35" t="s">
        <v>858</v>
      </c>
      <c r="G106" s="36" t="s">
        <v>655</v>
      </c>
      <c r="H106" s="36" t="s">
        <v>656</v>
      </c>
      <c r="I106" s="37" t="s">
        <v>1052</v>
      </c>
    </row>
    <row r="107">
      <c r="A107" s="34" t="s">
        <v>854</v>
      </c>
      <c r="B107" s="35" t="s">
        <v>1054</v>
      </c>
      <c r="C107" s="35" t="s">
        <v>1055</v>
      </c>
      <c r="D107" s="35" t="s">
        <v>1056</v>
      </c>
      <c r="E107" s="36">
        <v>2010.0</v>
      </c>
      <c r="F107" s="35" t="s">
        <v>647</v>
      </c>
      <c r="G107" s="36" t="s">
        <v>692</v>
      </c>
      <c r="H107" s="36" t="s">
        <v>656</v>
      </c>
      <c r="I107" s="37" t="s">
        <v>1057</v>
      </c>
    </row>
    <row r="108">
      <c r="A108" s="34" t="s">
        <v>854</v>
      </c>
      <c r="B108" s="35" t="s">
        <v>1058</v>
      </c>
      <c r="C108" s="35" t="s">
        <v>1059</v>
      </c>
      <c r="D108" s="35" t="s">
        <v>1060</v>
      </c>
      <c r="E108" s="36">
        <v>2010.0</v>
      </c>
      <c r="F108" s="35" t="s">
        <v>647</v>
      </c>
      <c r="G108" s="36" t="s">
        <v>988</v>
      </c>
      <c r="H108" s="36" t="s">
        <v>656</v>
      </c>
      <c r="I108" s="37" t="s">
        <v>1059</v>
      </c>
    </row>
    <row r="109">
      <c r="A109" s="34" t="s">
        <v>854</v>
      </c>
      <c r="B109" s="35" t="s">
        <v>1061</v>
      </c>
      <c r="C109" s="35" t="s">
        <v>1062</v>
      </c>
      <c r="D109" s="35" t="s">
        <v>1063</v>
      </c>
      <c r="E109" s="36">
        <v>2010.0</v>
      </c>
      <c r="F109" s="35" t="s">
        <v>647</v>
      </c>
      <c r="G109" s="36" t="s">
        <v>979</v>
      </c>
      <c r="H109" s="36" t="s">
        <v>656</v>
      </c>
      <c r="I109" s="37" t="s">
        <v>1062</v>
      </c>
    </row>
    <row r="110">
      <c r="A110" s="34" t="s">
        <v>854</v>
      </c>
      <c r="B110" s="35" t="s">
        <v>1064</v>
      </c>
      <c r="C110" s="35" t="s">
        <v>1065</v>
      </c>
      <c r="D110" s="35" t="s">
        <v>1066</v>
      </c>
      <c r="E110" s="36">
        <v>2010.0</v>
      </c>
      <c r="F110" s="35" t="s">
        <v>832</v>
      </c>
      <c r="G110" s="36" t="s">
        <v>956</v>
      </c>
      <c r="H110" s="36" t="s">
        <v>656</v>
      </c>
      <c r="I110" s="37" t="s">
        <v>1065</v>
      </c>
    </row>
    <row r="111">
      <c r="A111" s="34" t="s">
        <v>854</v>
      </c>
      <c r="B111" s="35" t="s">
        <v>1067</v>
      </c>
      <c r="C111" s="35" t="s">
        <v>1068</v>
      </c>
      <c r="D111" s="35" t="s">
        <v>1069</v>
      </c>
      <c r="E111" s="36">
        <v>2000.0</v>
      </c>
      <c r="F111" s="35" t="s">
        <v>729</v>
      </c>
      <c r="G111" s="36" t="s">
        <v>692</v>
      </c>
      <c r="H111" s="36" t="s">
        <v>656</v>
      </c>
      <c r="I111" s="37" t="s">
        <v>1070</v>
      </c>
    </row>
    <row r="112">
      <c r="A112" s="34" t="s">
        <v>1071</v>
      </c>
      <c r="B112" s="35" t="s">
        <v>1072</v>
      </c>
      <c r="C112" s="35" t="s">
        <v>1073</v>
      </c>
      <c r="D112" s="35" t="s">
        <v>1074</v>
      </c>
      <c r="E112" s="36">
        <v>2000.0</v>
      </c>
      <c r="F112" s="35" t="s">
        <v>1075</v>
      </c>
      <c r="G112" s="36" t="s">
        <v>1076</v>
      </c>
      <c r="H112" s="36" t="s">
        <v>1077</v>
      </c>
      <c r="I112" s="37" t="s">
        <v>1078</v>
      </c>
    </row>
    <row r="113">
      <c r="A113" s="34" t="s">
        <v>1071</v>
      </c>
      <c r="B113" s="35" t="s">
        <v>1079</v>
      </c>
      <c r="C113" s="35" t="s">
        <v>532</v>
      </c>
      <c r="D113" s="35" t="s">
        <v>1080</v>
      </c>
      <c r="E113" s="36">
        <v>2010.0</v>
      </c>
      <c r="F113" s="35" t="s">
        <v>1081</v>
      </c>
      <c r="G113" s="36" t="s">
        <v>1076</v>
      </c>
      <c r="H113" s="36" t="s">
        <v>1077</v>
      </c>
      <c r="I113" s="37" t="s">
        <v>1082</v>
      </c>
    </row>
    <row r="114">
      <c r="A114" s="34" t="s">
        <v>1071</v>
      </c>
      <c r="B114" s="35" t="s">
        <v>1083</v>
      </c>
      <c r="C114" s="35" t="s">
        <v>1084</v>
      </c>
      <c r="D114" s="35" t="s">
        <v>1085</v>
      </c>
      <c r="E114" s="36">
        <v>2010.0</v>
      </c>
      <c r="F114" s="35" t="s">
        <v>647</v>
      </c>
      <c r="G114" s="36" t="s">
        <v>1086</v>
      </c>
      <c r="H114" s="36" t="s">
        <v>702</v>
      </c>
      <c r="I114" s="37" t="s">
        <v>1087</v>
      </c>
    </row>
    <row r="115">
      <c r="A115" s="34" t="s">
        <v>1071</v>
      </c>
      <c r="B115" s="35" t="s">
        <v>1088</v>
      </c>
      <c r="C115" s="35" t="s">
        <v>1089</v>
      </c>
      <c r="D115" s="35" t="s">
        <v>1090</v>
      </c>
      <c r="E115" s="36">
        <v>2020.0</v>
      </c>
      <c r="F115" s="35" t="s">
        <v>1091</v>
      </c>
      <c r="G115" s="36" t="s">
        <v>1092</v>
      </c>
      <c r="H115" s="36" t="s">
        <v>1077</v>
      </c>
      <c r="I115" s="37" t="s">
        <v>1093</v>
      </c>
    </row>
    <row r="116">
      <c r="A116" s="34" t="s">
        <v>1071</v>
      </c>
      <c r="B116" s="35" t="s">
        <v>1094</v>
      </c>
      <c r="C116" s="35" t="s">
        <v>1095</v>
      </c>
      <c r="D116" s="35" t="s">
        <v>1096</v>
      </c>
      <c r="E116" s="36">
        <v>2020.0</v>
      </c>
      <c r="F116" s="35" t="s">
        <v>1097</v>
      </c>
      <c r="G116" s="36" t="s">
        <v>1098</v>
      </c>
      <c r="H116" s="36" t="s">
        <v>702</v>
      </c>
      <c r="I116" s="37" t="s">
        <v>1095</v>
      </c>
    </row>
    <row r="117">
      <c r="A117" s="34" t="s">
        <v>1071</v>
      </c>
      <c r="B117" s="35" t="s">
        <v>1099</v>
      </c>
      <c r="C117" s="35" t="s">
        <v>1100</v>
      </c>
      <c r="D117" s="35" t="s">
        <v>1101</v>
      </c>
      <c r="E117" s="36">
        <v>2010.0</v>
      </c>
      <c r="F117" s="35" t="s">
        <v>647</v>
      </c>
      <c r="G117" s="36" t="s">
        <v>1102</v>
      </c>
      <c r="H117" s="36" t="s">
        <v>1077</v>
      </c>
      <c r="I117" s="37" t="s">
        <v>1103</v>
      </c>
    </row>
    <row r="118">
      <c r="A118" s="34" t="s">
        <v>1071</v>
      </c>
      <c r="B118" s="35" t="s">
        <v>1104</v>
      </c>
      <c r="C118" s="35" t="s">
        <v>1105</v>
      </c>
      <c r="D118" s="35" t="s">
        <v>1106</v>
      </c>
      <c r="E118" s="36">
        <v>2010.0</v>
      </c>
      <c r="F118" s="35" t="s">
        <v>647</v>
      </c>
      <c r="G118" s="36" t="s">
        <v>1107</v>
      </c>
      <c r="H118" s="36" t="s">
        <v>1077</v>
      </c>
      <c r="I118" s="37" t="s">
        <v>1108</v>
      </c>
    </row>
    <row r="119">
      <c r="A119" s="34" t="s">
        <v>1071</v>
      </c>
      <c r="B119" s="35" t="s">
        <v>1109</v>
      </c>
      <c r="C119" s="35" t="s">
        <v>1110</v>
      </c>
      <c r="D119" s="35" t="s">
        <v>1111</v>
      </c>
      <c r="E119" s="36">
        <v>2020.0</v>
      </c>
      <c r="F119" s="35" t="s">
        <v>1112</v>
      </c>
      <c r="G119" s="36" t="s">
        <v>1113</v>
      </c>
      <c r="H119" s="36" t="s">
        <v>1077</v>
      </c>
      <c r="I119" s="37" t="s">
        <v>1113</v>
      </c>
    </row>
    <row r="120">
      <c r="A120" s="34" t="s">
        <v>1071</v>
      </c>
      <c r="B120" s="35" t="s">
        <v>1114</v>
      </c>
      <c r="C120" s="35" t="s">
        <v>1115</v>
      </c>
      <c r="D120" s="35" t="s">
        <v>1116</v>
      </c>
      <c r="E120" s="36">
        <v>2010.0</v>
      </c>
      <c r="F120" s="35" t="s">
        <v>832</v>
      </c>
      <c r="G120" s="36" t="s">
        <v>835</v>
      </c>
      <c r="H120" s="36" t="s">
        <v>1077</v>
      </c>
      <c r="I120" s="37" t="s">
        <v>1115</v>
      </c>
    </row>
    <row r="121">
      <c r="A121" s="34" t="s">
        <v>1071</v>
      </c>
      <c r="B121" s="35" t="s">
        <v>1117</v>
      </c>
      <c r="C121" s="35" t="s">
        <v>1118</v>
      </c>
      <c r="D121" s="35" t="s">
        <v>1119</v>
      </c>
      <c r="E121" s="36">
        <v>2020.0</v>
      </c>
      <c r="F121" s="35" t="s">
        <v>647</v>
      </c>
      <c r="G121" s="36" t="s">
        <v>1120</v>
      </c>
      <c r="H121" s="36" t="s">
        <v>702</v>
      </c>
      <c r="I121" s="37" t="s">
        <v>1121</v>
      </c>
    </row>
    <row r="122">
      <c r="A122" s="34" t="s">
        <v>1071</v>
      </c>
      <c r="B122" s="35" t="s">
        <v>1122</v>
      </c>
      <c r="C122" s="35" t="s">
        <v>1123</v>
      </c>
      <c r="D122" s="35" t="s">
        <v>1124</v>
      </c>
      <c r="E122" s="36">
        <v>2010.0</v>
      </c>
      <c r="F122" s="35" t="s">
        <v>647</v>
      </c>
      <c r="G122" s="36" t="s">
        <v>1125</v>
      </c>
      <c r="H122" s="36" t="s">
        <v>1077</v>
      </c>
      <c r="I122" s="37" t="s">
        <v>1126</v>
      </c>
    </row>
    <row r="123">
      <c r="A123" s="34" t="s">
        <v>1071</v>
      </c>
      <c r="B123" s="35" t="s">
        <v>1127</v>
      </c>
      <c r="C123" s="35" t="s">
        <v>1128</v>
      </c>
      <c r="D123" s="35" t="s">
        <v>1129</v>
      </c>
      <c r="E123" s="36">
        <v>2020.0</v>
      </c>
      <c r="F123" s="35" t="s">
        <v>647</v>
      </c>
      <c r="G123" s="36" t="s">
        <v>1130</v>
      </c>
      <c r="H123" s="36" t="s">
        <v>1077</v>
      </c>
      <c r="I123" s="37" t="s">
        <v>1131</v>
      </c>
    </row>
    <row r="124">
      <c r="A124" s="34" t="s">
        <v>1071</v>
      </c>
      <c r="B124" s="35" t="s">
        <v>1132</v>
      </c>
      <c r="C124" s="35" t="s">
        <v>1133</v>
      </c>
      <c r="D124" s="35" t="s">
        <v>1134</v>
      </c>
      <c r="E124" s="36">
        <v>2020.0</v>
      </c>
      <c r="F124" s="35" t="s">
        <v>806</v>
      </c>
      <c r="G124" s="36" t="s">
        <v>1135</v>
      </c>
      <c r="H124" s="36" t="s">
        <v>702</v>
      </c>
      <c r="I124" s="37" t="s">
        <v>1136</v>
      </c>
    </row>
    <row r="125">
      <c r="A125" s="34" t="s">
        <v>1071</v>
      </c>
      <c r="B125" s="35" t="s">
        <v>1137</v>
      </c>
      <c r="C125" s="35" t="s">
        <v>1138</v>
      </c>
      <c r="D125" s="35" t="s">
        <v>1139</v>
      </c>
      <c r="E125" s="36">
        <v>2010.0</v>
      </c>
      <c r="F125" s="35" t="s">
        <v>647</v>
      </c>
      <c r="G125" s="36" t="s">
        <v>1140</v>
      </c>
      <c r="H125" s="36" t="s">
        <v>702</v>
      </c>
      <c r="I125" s="37" t="s">
        <v>1141</v>
      </c>
    </row>
    <row r="126">
      <c r="A126" s="34" t="s">
        <v>1071</v>
      </c>
      <c r="B126" s="35" t="s">
        <v>1142</v>
      </c>
      <c r="C126" s="35" t="s">
        <v>600</v>
      </c>
      <c r="D126" s="35" t="s">
        <v>1143</v>
      </c>
      <c r="E126" s="36">
        <v>2020.0</v>
      </c>
      <c r="F126" s="35" t="s">
        <v>1144</v>
      </c>
      <c r="G126" s="36" t="s">
        <v>552</v>
      </c>
      <c r="H126" s="36" t="s">
        <v>656</v>
      </c>
      <c r="I126" s="37" t="s">
        <v>535</v>
      </c>
    </row>
    <row r="127">
      <c r="A127" s="34" t="s">
        <v>1071</v>
      </c>
      <c r="B127" s="35" t="s">
        <v>1145</v>
      </c>
      <c r="C127" s="35" t="s">
        <v>591</v>
      </c>
      <c r="D127" s="35" t="s">
        <v>1146</v>
      </c>
      <c r="E127" s="36">
        <v>2020.0</v>
      </c>
      <c r="F127" s="35" t="s">
        <v>1147</v>
      </c>
      <c r="G127" s="36" t="s">
        <v>1148</v>
      </c>
      <c r="H127" s="36" t="s">
        <v>656</v>
      </c>
      <c r="I127" s="37" t="s">
        <v>591</v>
      </c>
    </row>
    <row r="128">
      <c r="A128" s="34" t="s">
        <v>1071</v>
      </c>
      <c r="B128" s="35" t="s">
        <v>1149</v>
      </c>
      <c r="C128" s="35" t="s">
        <v>582</v>
      </c>
      <c r="D128" s="35" t="s">
        <v>1150</v>
      </c>
      <c r="E128" s="36">
        <v>2020.0</v>
      </c>
      <c r="F128" s="35" t="s">
        <v>832</v>
      </c>
      <c r="G128" s="36" t="s">
        <v>552</v>
      </c>
      <c r="H128" s="36" t="s">
        <v>656</v>
      </c>
      <c r="I128" s="37" t="s">
        <v>1151</v>
      </c>
    </row>
    <row r="129">
      <c r="A129" s="34" t="s">
        <v>1071</v>
      </c>
      <c r="B129" s="35" t="s">
        <v>1152</v>
      </c>
      <c r="C129" s="35" t="s">
        <v>1153</v>
      </c>
      <c r="D129" s="35" t="s">
        <v>1154</v>
      </c>
      <c r="E129" s="36">
        <v>2020.0</v>
      </c>
      <c r="F129" s="35" t="s">
        <v>814</v>
      </c>
      <c r="G129" s="36" t="s">
        <v>1155</v>
      </c>
      <c r="H129" s="36" t="s">
        <v>656</v>
      </c>
      <c r="I129" s="37" t="s">
        <v>1156</v>
      </c>
    </row>
    <row r="130">
      <c r="A130" s="34" t="s">
        <v>1071</v>
      </c>
      <c r="B130" s="35" t="s">
        <v>1157</v>
      </c>
      <c r="C130" s="35" t="s">
        <v>612</v>
      </c>
      <c r="D130" s="35" t="s">
        <v>1158</v>
      </c>
      <c r="E130" s="36">
        <v>2020.0</v>
      </c>
      <c r="F130" s="35" t="s">
        <v>729</v>
      </c>
      <c r="G130" s="36" t="s">
        <v>1159</v>
      </c>
      <c r="H130" s="36" t="s">
        <v>656</v>
      </c>
      <c r="I130" s="37" t="s">
        <v>535</v>
      </c>
    </row>
    <row r="131">
      <c r="A131" s="34" t="s">
        <v>1071</v>
      </c>
      <c r="B131" s="35" t="s">
        <v>1160</v>
      </c>
      <c r="C131" s="35" t="s">
        <v>1161</v>
      </c>
      <c r="D131" s="35" t="s">
        <v>1162</v>
      </c>
      <c r="E131" s="36">
        <v>2020.0</v>
      </c>
      <c r="F131" s="35" t="s">
        <v>647</v>
      </c>
      <c r="G131" s="36" t="s">
        <v>1155</v>
      </c>
      <c r="H131" s="36" t="s">
        <v>656</v>
      </c>
      <c r="I131" s="37" t="s">
        <v>626</v>
      </c>
    </row>
    <row r="132">
      <c r="A132" s="34" t="s">
        <v>1071</v>
      </c>
      <c r="B132" s="35" t="s">
        <v>1163</v>
      </c>
      <c r="C132" s="35" t="s">
        <v>1164</v>
      </c>
      <c r="D132" s="35" t="s">
        <v>1165</v>
      </c>
      <c r="E132" s="36">
        <v>2020.0</v>
      </c>
      <c r="F132" s="35" t="s">
        <v>832</v>
      </c>
      <c r="G132" s="36" t="s">
        <v>1155</v>
      </c>
      <c r="H132" s="36" t="s">
        <v>702</v>
      </c>
      <c r="I132" s="37" t="s">
        <v>588</v>
      </c>
    </row>
    <row r="133">
      <c r="A133" s="34" t="s">
        <v>1071</v>
      </c>
      <c r="B133" s="35" t="s">
        <v>1166</v>
      </c>
      <c r="C133" s="35" t="s">
        <v>1167</v>
      </c>
      <c r="D133" s="35" t="s">
        <v>1168</v>
      </c>
      <c r="E133" s="36">
        <v>2020.0</v>
      </c>
      <c r="F133" s="35" t="s">
        <v>647</v>
      </c>
      <c r="G133" s="36" t="s">
        <v>692</v>
      </c>
      <c r="H133" s="36" t="s">
        <v>656</v>
      </c>
      <c r="I133" s="37" t="s">
        <v>266</v>
      </c>
    </row>
    <row r="134">
      <c r="A134" s="34" t="s">
        <v>1071</v>
      </c>
      <c r="B134" s="35" t="s">
        <v>1169</v>
      </c>
      <c r="C134" s="35" t="s">
        <v>1170</v>
      </c>
      <c r="D134" s="35" t="s">
        <v>1171</v>
      </c>
      <c r="E134" s="36">
        <v>2020.0</v>
      </c>
      <c r="F134" s="35" t="s">
        <v>832</v>
      </c>
      <c r="G134" s="36" t="s">
        <v>1172</v>
      </c>
      <c r="H134" s="36" t="s">
        <v>1077</v>
      </c>
      <c r="I134" s="37" t="s">
        <v>1173</v>
      </c>
    </row>
    <row r="135">
      <c r="A135" s="34" t="s">
        <v>1071</v>
      </c>
      <c r="B135" s="35" t="s">
        <v>1174</v>
      </c>
      <c r="C135" s="35" t="s">
        <v>1175</v>
      </c>
      <c r="D135" s="35" t="s">
        <v>1176</v>
      </c>
      <c r="E135" s="36">
        <v>2010.0</v>
      </c>
      <c r="F135" s="35" t="s">
        <v>647</v>
      </c>
      <c r="G135" s="36" t="s">
        <v>1107</v>
      </c>
      <c r="H135" s="36" t="s">
        <v>1077</v>
      </c>
      <c r="I135" s="37" t="s">
        <v>1108</v>
      </c>
    </row>
    <row r="136">
      <c r="A136" s="34" t="s">
        <v>1071</v>
      </c>
      <c r="B136" s="35" t="s">
        <v>1177</v>
      </c>
      <c r="C136" s="35" t="s">
        <v>1178</v>
      </c>
      <c r="D136" s="35" t="s">
        <v>1179</v>
      </c>
      <c r="E136" s="36">
        <v>2010.0</v>
      </c>
      <c r="F136" s="35" t="s">
        <v>734</v>
      </c>
      <c r="G136" s="36" t="s">
        <v>1076</v>
      </c>
      <c r="H136" s="36" t="s">
        <v>1077</v>
      </c>
      <c r="I136" s="37" t="s">
        <v>1180</v>
      </c>
    </row>
    <row r="137">
      <c r="A137" s="34" t="s">
        <v>1071</v>
      </c>
      <c r="B137" s="35" t="s">
        <v>1181</v>
      </c>
      <c r="C137" s="35" t="s">
        <v>1182</v>
      </c>
      <c r="D137" s="35" t="s">
        <v>1183</v>
      </c>
      <c r="E137" s="36">
        <v>2010.0</v>
      </c>
      <c r="F137" s="35" t="s">
        <v>890</v>
      </c>
      <c r="G137" s="36" t="s">
        <v>1113</v>
      </c>
      <c r="H137" s="36" t="s">
        <v>1077</v>
      </c>
      <c r="I137" s="37" t="s">
        <v>1182</v>
      </c>
    </row>
    <row r="138">
      <c r="A138" s="34" t="s">
        <v>1071</v>
      </c>
      <c r="B138" s="35" t="s">
        <v>1184</v>
      </c>
      <c r="C138" s="35" t="s">
        <v>1185</v>
      </c>
      <c r="D138" s="35" t="s">
        <v>1186</v>
      </c>
      <c r="E138" s="36">
        <v>2000.0</v>
      </c>
      <c r="F138" s="35" t="s">
        <v>647</v>
      </c>
      <c r="G138" s="36" t="s">
        <v>1187</v>
      </c>
      <c r="H138" s="36" t="s">
        <v>1077</v>
      </c>
      <c r="I138" s="37" t="s">
        <v>1188</v>
      </c>
    </row>
    <row r="139">
      <c r="A139" s="34" t="s">
        <v>1071</v>
      </c>
      <c r="B139" s="35" t="s">
        <v>1189</v>
      </c>
      <c r="C139" s="35" t="s">
        <v>1190</v>
      </c>
      <c r="D139" s="35" t="s">
        <v>1191</v>
      </c>
      <c r="E139" s="36">
        <v>2010.0</v>
      </c>
      <c r="F139" s="35" t="s">
        <v>647</v>
      </c>
      <c r="G139" s="36" t="s">
        <v>1192</v>
      </c>
      <c r="H139" s="36" t="s">
        <v>1077</v>
      </c>
      <c r="I139" s="37" t="s">
        <v>1190</v>
      </c>
    </row>
    <row r="140">
      <c r="A140" s="34" t="s">
        <v>1071</v>
      </c>
      <c r="B140" s="35" t="s">
        <v>1193</v>
      </c>
      <c r="C140" s="35" t="s">
        <v>1194</v>
      </c>
      <c r="D140" s="35" t="s">
        <v>1195</v>
      </c>
      <c r="E140" s="36">
        <v>2020.0</v>
      </c>
      <c r="F140" s="35" t="s">
        <v>729</v>
      </c>
      <c r="G140" s="36" t="s">
        <v>1076</v>
      </c>
      <c r="H140" s="36" t="s">
        <v>1077</v>
      </c>
      <c r="I140" s="37" t="s">
        <v>1196</v>
      </c>
    </row>
    <row r="141">
      <c r="A141" s="34" t="s">
        <v>1071</v>
      </c>
      <c r="B141" s="35" t="s">
        <v>1197</v>
      </c>
      <c r="C141" s="35" t="s">
        <v>1198</v>
      </c>
      <c r="D141" s="35" t="s">
        <v>1199</v>
      </c>
      <c r="E141" s="36">
        <v>2010.0</v>
      </c>
      <c r="F141" s="35" t="s">
        <v>1200</v>
      </c>
      <c r="G141" s="36" t="s">
        <v>1076</v>
      </c>
      <c r="H141" s="36" t="s">
        <v>1077</v>
      </c>
      <c r="I141" s="37" t="s">
        <v>1198</v>
      </c>
    </row>
    <row r="142">
      <c r="A142" s="34" t="s">
        <v>1071</v>
      </c>
      <c r="B142" s="35" t="s">
        <v>1201</v>
      </c>
      <c r="C142" s="35" t="s">
        <v>1202</v>
      </c>
      <c r="D142" s="35" t="s">
        <v>1203</v>
      </c>
      <c r="E142" s="36">
        <v>2020.0</v>
      </c>
      <c r="F142" s="35" t="s">
        <v>1204</v>
      </c>
      <c r="G142" s="36" t="s">
        <v>1076</v>
      </c>
      <c r="H142" s="36" t="s">
        <v>1077</v>
      </c>
      <c r="I142" s="37" t="s">
        <v>1202</v>
      </c>
    </row>
    <row r="143">
      <c r="A143" s="34" t="s">
        <v>1071</v>
      </c>
      <c r="B143" s="35" t="s">
        <v>1205</v>
      </c>
      <c r="C143" s="35" t="s">
        <v>1206</v>
      </c>
      <c r="D143" s="35" t="s">
        <v>1207</v>
      </c>
      <c r="E143" s="36">
        <v>2010.0</v>
      </c>
      <c r="F143" s="35" t="s">
        <v>1208</v>
      </c>
      <c r="G143" s="36" t="s">
        <v>1209</v>
      </c>
      <c r="H143" s="36" t="s">
        <v>656</v>
      </c>
      <c r="I143" s="37" t="s">
        <v>348</v>
      </c>
    </row>
    <row r="144">
      <c r="A144" s="34" t="s">
        <v>1071</v>
      </c>
      <c r="B144" s="35" t="s">
        <v>1210</v>
      </c>
      <c r="C144" s="35" t="s">
        <v>1211</v>
      </c>
      <c r="D144" s="35" t="s">
        <v>1212</v>
      </c>
      <c r="E144" s="36">
        <v>2020.0</v>
      </c>
      <c r="F144" s="35" t="s">
        <v>984</v>
      </c>
      <c r="G144" s="36" t="s">
        <v>1155</v>
      </c>
      <c r="H144" s="36" t="s">
        <v>656</v>
      </c>
      <c r="I144" s="37" t="s">
        <v>256</v>
      </c>
    </row>
    <row r="145">
      <c r="A145" s="34" t="s">
        <v>1071</v>
      </c>
      <c r="B145" s="35" t="s">
        <v>1213</v>
      </c>
      <c r="C145" s="35" t="s">
        <v>608</v>
      </c>
      <c r="D145" s="35" t="s">
        <v>1214</v>
      </c>
      <c r="E145" s="36">
        <v>2020.0</v>
      </c>
      <c r="F145" s="35" t="s">
        <v>647</v>
      </c>
      <c r="G145" s="36" t="s">
        <v>1215</v>
      </c>
      <c r="H145" s="36" t="s">
        <v>656</v>
      </c>
      <c r="I145" s="37" t="s">
        <v>463</v>
      </c>
    </row>
    <row r="146">
      <c r="A146" s="34" t="s">
        <v>1071</v>
      </c>
      <c r="B146" s="35" t="s">
        <v>1216</v>
      </c>
      <c r="C146" s="35" t="s">
        <v>610</v>
      </c>
      <c r="D146" s="35" t="s">
        <v>1217</v>
      </c>
      <c r="E146" s="36">
        <v>2020.0</v>
      </c>
      <c r="F146" s="35" t="s">
        <v>82</v>
      </c>
      <c r="G146" s="36" t="s">
        <v>148</v>
      </c>
      <c r="H146" s="36" t="s">
        <v>656</v>
      </c>
      <c r="I146" s="37" t="s">
        <v>415</v>
      </c>
    </row>
    <row r="147">
      <c r="A147" s="34" t="s">
        <v>1071</v>
      </c>
      <c r="B147" s="35" t="s">
        <v>1218</v>
      </c>
      <c r="C147" s="35" t="s">
        <v>1219</v>
      </c>
      <c r="D147" s="35" t="s">
        <v>1220</v>
      </c>
      <c r="E147" s="36">
        <v>2020.0</v>
      </c>
      <c r="F147" s="35" t="s">
        <v>832</v>
      </c>
      <c r="G147" s="36" t="s">
        <v>956</v>
      </c>
      <c r="H147" s="36" t="s">
        <v>656</v>
      </c>
      <c r="I147" s="37" t="s">
        <v>1219</v>
      </c>
    </row>
    <row r="148">
      <c r="A148" s="34" t="s">
        <v>1071</v>
      </c>
      <c r="B148" s="35" t="s">
        <v>1221</v>
      </c>
      <c r="C148" s="35" t="s">
        <v>1222</v>
      </c>
      <c r="D148" s="35" t="s">
        <v>1223</v>
      </c>
      <c r="E148" s="36">
        <v>2020.0</v>
      </c>
      <c r="F148" s="35" t="s">
        <v>832</v>
      </c>
      <c r="G148" s="36" t="s">
        <v>1224</v>
      </c>
      <c r="H148" s="36" t="s">
        <v>1077</v>
      </c>
      <c r="I148" s="37" t="s">
        <v>1222</v>
      </c>
    </row>
    <row r="149">
      <c r="A149" s="34" t="s">
        <v>1071</v>
      </c>
      <c r="B149" s="35" t="s">
        <v>1225</v>
      </c>
      <c r="C149" s="35" t="s">
        <v>1226</v>
      </c>
      <c r="D149" s="35" t="s">
        <v>1227</v>
      </c>
      <c r="E149" s="36">
        <v>2020.0</v>
      </c>
      <c r="F149" s="35" t="s">
        <v>832</v>
      </c>
      <c r="G149" s="36" t="s">
        <v>1228</v>
      </c>
      <c r="H149" s="36" t="s">
        <v>702</v>
      </c>
      <c r="I149" s="37" t="s">
        <v>1226</v>
      </c>
    </row>
    <row r="150">
      <c r="A150" s="34" t="s">
        <v>1071</v>
      </c>
      <c r="B150" s="35" t="s">
        <v>1229</v>
      </c>
      <c r="C150" s="35" t="s">
        <v>1230</v>
      </c>
      <c r="D150" s="35" t="s">
        <v>1231</v>
      </c>
      <c r="E150" s="36">
        <v>2000.0</v>
      </c>
      <c r="F150" s="35" t="s">
        <v>647</v>
      </c>
      <c r="G150" s="36" t="s">
        <v>655</v>
      </c>
      <c r="H150" s="36" t="s">
        <v>702</v>
      </c>
      <c r="I150" s="37" t="s">
        <v>1230</v>
      </c>
    </row>
    <row r="151">
      <c r="A151" s="34" t="s">
        <v>1071</v>
      </c>
      <c r="B151" s="35" t="s">
        <v>1232</v>
      </c>
      <c r="C151" s="35" t="s">
        <v>1233</v>
      </c>
      <c r="D151" s="35" t="s">
        <v>1234</v>
      </c>
      <c r="E151" s="36">
        <v>2010.0</v>
      </c>
      <c r="F151" s="35" t="s">
        <v>647</v>
      </c>
      <c r="G151" s="36" t="s">
        <v>1076</v>
      </c>
      <c r="H151" s="36" t="s">
        <v>1077</v>
      </c>
      <c r="I151" s="37" t="s">
        <v>1233</v>
      </c>
    </row>
    <row r="152">
      <c r="A152" s="34" t="s">
        <v>1071</v>
      </c>
      <c r="B152" s="35" t="s">
        <v>1235</v>
      </c>
      <c r="C152" s="35" t="s">
        <v>1236</v>
      </c>
      <c r="D152" s="35" t="s">
        <v>1237</v>
      </c>
      <c r="E152" s="36">
        <v>2010.0</v>
      </c>
      <c r="F152" s="35" t="s">
        <v>647</v>
      </c>
      <c r="G152" s="36" t="s">
        <v>1076</v>
      </c>
      <c r="H152" s="36" t="s">
        <v>1077</v>
      </c>
      <c r="I152" s="37" t="s">
        <v>1236</v>
      </c>
    </row>
    <row r="153">
      <c r="A153" s="34" t="s">
        <v>1071</v>
      </c>
      <c r="B153" s="35" t="s">
        <v>1238</v>
      </c>
      <c r="C153" s="35" t="s">
        <v>1239</v>
      </c>
      <c r="D153" s="35" t="s">
        <v>1240</v>
      </c>
      <c r="E153" s="36">
        <v>2010.0</v>
      </c>
      <c r="F153" s="35" t="s">
        <v>801</v>
      </c>
      <c r="G153" s="36" t="s">
        <v>1241</v>
      </c>
      <c r="H153" s="36" t="s">
        <v>656</v>
      </c>
      <c r="I153" s="37" t="s">
        <v>1239</v>
      </c>
    </row>
    <row r="154">
      <c r="A154" s="34" t="s">
        <v>1071</v>
      </c>
      <c r="B154" s="35" t="s">
        <v>1242</v>
      </c>
      <c r="C154" s="35" t="s">
        <v>1243</v>
      </c>
      <c r="D154" s="35" t="s">
        <v>1244</v>
      </c>
      <c r="E154" s="36">
        <v>2010.0</v>
      </c>
      <c r="F154" s="35" t="s">
        <v>832</v>
      </c>
      <c r="G154" s="36" t="s">
        <v>1245</v>
      </c>
      <c r="H154" s="36" t="s">
        <v>656</v>
      </c>
      <c r="I154" s="37" t="s">
        <v>1246</v>
      </c>
    </row>
    <row r="155">
      <c r="A155" s="34" t="s">
        <v>1071</v>
      </c>
      <c r="B155" s="35" t="s">
        <v>1247</v>
      </c>
      <c r="C155" s="35" t="s">
        <v>1248</v>
      </c>
      <c r="D155" s="35" t="s">
        <v>1249</v>
      </c>
      <c r="E155" s="36">
        <v>2010.0</v>
      </c>
      <c r="F155" s="35" t="s">
        <v>647</v>
      </c>
      <c r="G155" s="36" t="s">
        <v>1076</v>
      </c>
      <c r="H155" s="36" t="s">
        <v>1077</v>
      </c>
      <c r="I155" s="37" t="s">
        <v>1250</v>
      </c>
    </row>
    <row r="156">
      <c r="A156" s="34" t="s">
        <v>1071</v>
      </c>
      <c r="B156" s="35" t="s">
        <v>1251</v>
      </c>
      <c r="C156" s="35" t="s">
        <v>1252</v>
      </c>
      <c r="D156" s="35" t="s">
        <v>1253</v>
      </c>
      <c r="E156" s="36">
        <v>2020.0</v>
      </c>
      <c r="F156" s="35" t="s">
        <v>1254</v>
      </c>
      <c r="G156" s="36" t="s">
        <v>1255</v>
      </c>
      <c r="H156" s="36" t="s">
        <v>702</v>
      </c>
      <c r="I156" s="37" t="s">
        <v>1256</v>
      </c>
    </row>
    <row r="157">
      <c r="A157" s="34" t="s">
        <v>1071</v>
      </c>
      <c r="B157" s="35" t="s">
        <v>1257</v>
      </c>
      <c r="C157" s="35" t="s">
        <v>1258</v>
      </c>
      <c r="D157" s="35" t="s">
        <v>1259</v>
      </c>
      <c r="E157" s="36">
        <v>2020.0</v>
      </c>
      <c r="F157" s="35" t="s">
        <v>1112</v>
      </c>
      <c r="G157" s="36" t="s">
        <v>1260</v>
      </c>
      <c r="H157" s="36" t="s">
        <v>656</v>
      </c>
      <c r="I157" s="37" t="s">
        <v>588</v>
      </c>
    </row>
    <row r="158">
      <c r="A158" s="34" t="s">
        <v>1071</v>
      </c>
      <c r="B158" s="35" t="s">
        <v>1261</v>
      </c>
      <c r="C158" s="35" t="s">
        <v>1262</v>
      </c>
      <c r="D158" s="35" t="s">
        <v>1263</v>
      </c>
      <c r="E158" s="36">
        <v>2010.0</v>
      </c>
      <c r="F158" s="35" t="s">
        <v>806</v>
      </c>
      <c r="G158" s="36" t="s">
        <v>1264</v>
      </c>
      <c r="H158" s="36" t="s">
        <v>656</v>
      </c>
      <c r="I158" s="37" t="s">
        <v>1265</v>
      </c>
    </row>
    <row r="159">
      <c r="A159" s="34" t="s">
        <v>1071</v>
      </c>
      <c r="B159" s="35" t="s">
        <v>1266</v>
      </c>
      <c r="C159" s="35" t="s">
        <v>1267</v>
      </c>
      <c r="D159" s="35" t="s">
        <v>1268</v>
      </c>
      <c r="E159" s="36">
        <v>2010.0</v>
      </c>
      <c r="F159" s="35" t="s">
        <v>1091</v>
      </c>
      <c r="G159" s="36" t="s">
        <v>1269</v>
      </c>
      <c r="H159" s="36" t="s">
        <v>656</v>
      </c>
      <c r="I159" s="37" t="s">
        <v>1267</v>
      </c>
    </row>
    <row r="160">
      <c r="A160" s="34" t="s">
        <v>1071</v>
      </c>
      <c r="B160" s="35" t="s">
        <v>1270</v>
      </c>
      <c r="C160" s="35" t="s">
        <v>1271</v>
      </c>
      <c r="D160" s="35" t="s">
        <v>1272</v>
      </c>
      <c r="E160" s="36">
        <v>2010.0</v>
      </c>
      <c r="F160" s="35" t="s">
        <v>647</v>
      </c>
      <c r="G160" s="36" t="s">
        <v>1092</v>
      </c>
      <c r="H160" s="36" t="s">
        <v>1077</v>
      </c>
      <c r="I160" s="37" t="s">
        <v>1182</v>
      </c>
    </row>
    <row r="161">
      <c r="A161" s="34" t="s">
        <v>1071</v>
      </c>
      <c r="B161" s="35" t="s">
        <v>1273</v>
      </c>
      <c r="C161" s="35" t="s">
        <v>1274</v>
      </c>
      <c r="D161" s="35" t="s">
        <v>1275</v>
      </c>
      <c r="E161" s="36">
        <v>2020.0</v>
      </c>
      <c r="F161" s="35" t="s">
        <v>832</v>
      </c>
      <c r="G161" s="36" t="s">
        <v>1276</v>
      </c>
      <c r="H161" s="36" t="s">
        <v>702</v>
      </c>
      <c r="I161" s="37" t="s">
        <v>1277</v>
      </c>
    </row>
    <row r="162">
      <c r="A162" s="34" t="s">
        <v>1071</v>
      </c>
      <c r="B162" s="35" t="s">
        <v>1273</v>
      </c>
      <c r="C162" s="35" t="s">
        <v>1278</v>
      </c>
      <c r="D162" s="35" t="s">
        <v>1279</v>
      </c>
      <c r="E162" s="36">
        <v>2020.0</v>
      </c>
      <c r="F162" s="35" t="s">
        <v>832</v>
      </c>
      <c r="G162" s="36" t="s">
        <v>1276</v>
      </c>
      <c r="H162" s="36" t="s">
        <v>702</v>
      </c>
      <c r="I162" s="37" t="s">
        <v>1280</v>
      </c>
    </row>
    <row r="163">
      <c r="A163" s="34" t="s">
        <v>1071</v>
      </c>
      <c r="B163" s="35" t="s">
        <v>1281</v>
      </c>
      <c r="C163" s="35" t="s">
        <v>1282</v>
      </c>
      <c r="D163" s="35" t="s">
        <v>1171</v>
      </c>
      <c r="E163" s="36">
        <v>2010.0</v>
      </c>
      <c r="F163" s="35" t="s">
        <v>832</v>
      </c>
      <c r="G163" s="36" t="s">
        <v>1283</v>
      </c>
      <c r="H163" s="36" t="s">
        <v>1077</v>
      </c>
      <c r="I163" s="37" t="s">
        <v>1284</v>
      </c>
    </row>
    <row r="164">
      <c r="A164" s="34" t="s">
        <v>1071</v>
      </c>
      <c r="B164" s="35" t="s">
        <v>534</v>
      </c>
      <c r="C164" s="35" t="s">
        <v>1285</v>
      </c>
      <c r="D164" s="35" t="s">
        <v>1286</v>
      </c>
      <c r="E164" s="36">
        <v>2020.0</v>
      </c>
      <c r="F164" s="35" t="s">
        <v>832</v>
      </c>
      <c r="G164" s="36" t="s">
        <v>1287</v>
      </c>
      <c r="H164" s="36" t="s">
        <v>702</v>
      </c>
      <c r="I164" s="37" t="s">
        <v>1288</v>
      </c>
    </row>
    <row r="165">
      <c r="A165" s="34" t="s">
        <v>1071</v>
      </c>
      <c r="B165" s="35" t="s">
        <v>1184</v>
      </c>
      <c r="C165" s="35" t="s">
        <v>1289</v>
      </c>
      <c r="D165" s="35" t="s">
        <v>1290</v>
      </c>
      <c r="E165" s="36">
        <v>2010.0</v>
      </c>
      <c r="F165" s="35" t="s">
        <v>647</v>
      </c>
      <c r="G165" s="36" t="s">
        <v>1291</v>
      </c>
      <c r="H165" s="36" t="s">
        <v>1077</v>
      </c>
      <c r="I165" s="37" t="s">
        <v>1292</v>
      </c>
    </row>
    <row r="166">
      <c r="A166" s="34" t="s">
        <v>1071</v>
      </c>
      <c r="B166" s="35" t="s">
        <v>1293</v>
      </c>
      <c r="C166" s="35" t="s">
        <v>1294</v>
      </c>
      <c r="D166" s="35" t="s">
        <v>1295</v>
      </c>
      <c r="E166" s="36">
        <v>2010.0</v>
      </c>
      <c r="F166" s="35" t="s">
        <v>832</v>
      </c>
      <c r="G166" s="36" t="s">
        <v>1296</v>
      </c>
      <c r="H166" s="36" t="s">
        <v>1077</v>
      </c>
      <c r="I166" s="37" t="s">
        <v>1294</v>
      </c>
    </row>
    <row r="167">
      <c r="A167" s="34" t="s">
        <v>1071</v>
      </c>
      <c r="B167" s="35" t="s">
        <v>1297</v>
      </c>
      <c r="C167" s="35" t="s">
        <v>1298</v>
      </c>
      <c r="D167" s="35" t="s">
        <v>1299</v>
      </c>
      <c r="E167" s="36">
        <v>2020.0</v>
      </c>
      <c r="F167" s="35" t="s">
        <v>729</v>
      </c>
      <c r="G167" s="36" t="s">
        <v>1300</v>
      </c>
      <c r="H167" s="36" t="s">
        <v>656</v>
      </c>
      <c r="I167" s="37" t="s">
        <v>1301</v>
      </c>
    </row>
    <row r="168">
      <c r="A168" s="34" t="s">
        <v>1071</v>
      </c>
      <c r="B168" s="35" t="s">
        <v>1302</v>
      </c>
      <c r="C168" s="35" t="s">
        <v>1303</v>
      </c>
      <c r="D168" s="35" t="s">
        <v>1304</v>
      </c>
      <c r="E168" s="36">
        <v>2020.0</v>
      </c>
      <c r="F168" s="35" t="s">
        <v>729</v>
      </c>
      <c r="G168" s="36" t="s">
        <v>1305</v>
      </c>
      <c r="H168" s="36" t="s">
        <v>656</v>
      </c>
      <c r="I168" s="37" t="s">
        <v>1303</v>
      </c>
    </row>
    <row r="169">
      <c r="A169" s="34" t="s">
        <v>1071</v>
      </c>
      <c r="B169" s="35" t="s">
        <v>1306</v>
      </c>
      <c r="C169" s="35" t="s">
        <v>1307</v>
      </c>
      <c r="D169" s="35" t="s">
        <v>1308</v>
      </c>
      <c r="E169" s="36">
        <v>2010.0</v>
      </c>
      <c r="F169" s="35" t="s">
        <v>647</v>
      </c>
      <c r="G169" s="36" t="s">
        <v>1309</v>
      </c>
      <c r="H169" s="36" t="s">
        <v>656</v>
      </c>
      <c r="I169" s="37" t="s">
        <v>1307</v>
      </c>
    </row>
    <row r="170">
      <c r="A170" s="34" t="s">
        <v>1071</v>
      </c>
      <c r="B170" s="35" t="s">
        <v>1310</v>
      </c>
      <c r="C170" s="35" t="s">
        <v>1311</v>
      </c>
      <c r="D170" s="35" t="s">
        <v>1312</v>
      </c>
      <c r="E170" s="36">
        <v>2020.0</v>
      </c>
      <c r="F170" s="35" t="s">
        <v>984</v>
      </c>
      <c r="G170" s="36" t="s">
        <v>1155</v>
      </c>
      <c r="H170" s="36" t="s">
        <v>656</v>
      </c>
      <c r="I170" s="37" t="s">
        <v>1313</v>
      </c>
    </row>
    <row r="171">
      <c r="A171" s="34" t="s">
        <v>1071</v>
      </c>
      <c r="B171" s="35" t="s">
        <v>1314</v>
      </c>
      <c r="C171" s="35" t="s">
        <v>1315</v>
      </c>
      <c r="D171" s="35" t="s">
        <v>1316</v>
      </c>
      <c r="E171" s="36">
        <v>2020.0</v>
      </c>
      <c r="F171" s="35" t="s">
        <v>832</v>
      </c>
      <c r="G171" s="36" t="s">
        <v>1317</v>
      </c>
      <c r="H171" s="36" t="s">
        <v>656</v>
      </c>
      <c r="I171" s="37" t="s">
        <v>1318</v>
      </c>
    </row>
    <row r="172">
      <c r="A172" s="34" t="s">
        <v>1071</v>
      </c>
      <c r="B172" s="35" t="s">
        <v>1319</v>
      </c>
      <c r="C172" s="35" t="s">
        <v>1320</v>
      </c>
      <c r="D172" s="35" t="s">
        <v>1321</v>
      </c>
      <c r="E172" s="36">
        <v>2010.0</v>
      </c>
      <c r="F172" s="35" t="s">
        <v>647</v>
      </c>
      <c r="G172" s="36" t="s">
        <v>1322</v>
      </c>
      <c r="H172" s="36" t="s">
        <v>656</v>
      </c>
      <c r="I172" s="37" t="s">
        <v>1320</v>
      </c>
    </row>
    <row r="173">
      <c r="A173" s="34" t="s">
        <v>1071</v>
      </c>
      <c r="B173" s="35" t="s">
        <v>1323</v>
      </c>
      <c r="C173" s="35" t="s">
        <v>1324</v>
      </c>
      <c r="D173" s="35" t="s">
        <v>1325</v>
      </c>
      <c r="E173" s="36">
        <v>2020.0</v>
      </c>
      <c r="F173" s="35" t="s">
        <v>1326</v>
      </c>
      <c r="G173" s="36" t="s">
        <v>1322</v>
      </c>
      <c r="H173" s="36" t="s">
        <v>656</v>
      </c>
      <c r="I173" s="37" t="s">
        <v>544</v>
      </c>
    </row>
    <row r="174">
      <c r="A174" s="34" t="s">
        <v>1071</v>
      </c>
      <c r="B174" s="35" t="s">
        <v>180</v>
      </c>
      <c r="C174" s="35" t="s">
        <v>1327</v>
      </c>
      <c r="D174" s="35" t="s">
        <v>1328</v>
      </c>
      <c r="E174" s="36">
        <v>2020.0</v>
      </c>
      <c r="F174" s="35" t="s">
        <v>1329</v>
      </c>
      <c r="G174" s="36" t="s">
        <v>1330</v>
      </c>
      <c r="H174" s="36" t="s">
        <v>656</v>
      </c>
      <c r="I174" s="37" t="s">
        <v>519</v>
      </c>
    </row>
    <row r="175">
      <c r="A175" s="34" t="s">
        <v>1071</v>
      </c>
      <c r="B175" s="35" t="s">
        <v>1331</v>
      </c>
      <c r="C175" s="38" t="s">
        <v>1332</v>
      </c>
      <c r="D175" s="35" t="s">
        <v>1333</v>
      </c>
      <c r="E175" s="36">
        <v>2010.0</v>
      </c>
      <c r="F175" s="35" t="s">
        <v>832</v>
      </c>
      <c r="G175" s="36" t="s">
        <v>1334</v>
      </c>
      <c r="H175" s="36" t="s">
        <v>702</v>
      </c>
      <c r="I175" s="37" t="s">
        <v>1335</v>
      </c>
    </row>
    <row r="176">
      <c r="A176" s="34" t="s">
        <v>1071</v>
      </c>
      <c r="B176" s="35" t="s">
        <v>1336</v>
      </c>
      <c r="C176" s="35" t="s">
        <v>1337</v>
      </c>
      <c r="D176" s="35" t="s">
        <v>1338</v>
      </c>
      <c r="E176" s="36">
        <v>2020.0</v>
      </c>
      <c r="F176" s="35" t="s">
        <v>647</v>
      </c>
      <c r="G176" s="36" t="s">
        <v>1339</v>
      </c>
      <c r="H176" s="36" t="s">
        <v>702</v>
      </c>
      <c r="I176" s="37" t="s">
        <v>1340</v>
      </c>
    </row>
    <row r="177">
      <c r="A177" s="34" t="s">
        <v>1071</v>
      </c>
      <c r="B177" s="35" t="s">
        <v>1341</v>
      </c>
      <c r="C177" s="35" t="s">
        <v>1342</v>
      </c>
      <c r="D177" s="35" t="s">
        <v>1343</v>
      </c>
      <c r="E177" s="36">
        <v>2010.0</v>
      </c>
      <c r="F177" s="35" t="s">
        <v>1006</v>
      </c>
      <c r="G177" s="36" t="s">
        <v>988</v>
      </c>
      <c r="H177" s="36" t="s">
        <v>656</v>
      </c>
      <c r="I177" s="37" t="s">
        <v>1059</v>
      </c>
    </row>
    <row r="178">
      <c r="A178" s="34" t="s">
        <v>1071</v>
      </c>
      <c r="B178" s="35" t="s">
        <v>1344</v>
      </c>
      <c r="C178" s="35" t="s">
        <v>1345</v>
      </c>
      <c r="D178" s="35" t="s">
        <v>1346</v>
      </c>
      <c r="E178" s="36">
        <v>2010.0</v>
      </c>
      <c r="F178" s="35" t="s">
        <v>832</v>
      </c>
      <c r="G178" s="36" t="s">
        <v>1076</v>
      </c>
      <c r="H178" s="36" t="s">
        <v>1077</v>
      </c>
      <c r="I178" s="37" t="s">
        <v>1345</v>
      </c>
    </row>
    <row r="179">
      <c r="A179" s="34" t="s">
        <v>1071</v>
      </c>
      <c r="B179" s="35" t="s">
        <v>1347</v>
      </c>
      <c r="C179" s="35" t="s">
        <v>1348</v>
      </c>
      <c r="D179" s="35" t="s">
        <v>1349</v>
      </c>
      <c r="E179" s="36">
        <v>2010.0</v>
      </c>
      <c r="F179" s="35" t="s">
        <v>832</v>
      </c>
      <c r="G179" s="36" t="s">
        <v>1107</v>
      </c>
      <c r="H179" s="36" t="s">
        <v>1077</v>
      </c>
      <c r="I179" s="37" t="s">
        <v>1350</v>
      </c>
    </row>
    <row r="180">
      <c r="A180" s="34" t="s">
        <v>1071</v>
      </c>
      <c r="B180" s="35" t="s">
        <v>1351</v>
      </c>
      <c r="C180" s="35" t="s">
        <v>1352</v>
      </c>
      <c r="D180" s="35" t="s">
        <v>1353</v>
      </c>
      <c r="E180" s="36">
        <v>2010.0</v>
      </c>
      <c r="F180" s="35" t="s">
        <v>647</v>
      </c>
      <c r="G180" s="36" t="s">
        <v>1354</v>
      </c>
      <c r="H180" s="36" t="s">
        <v>1077</v>
      </c>
      <c r="I180" s="37" t="s">
        <v>1355</v>
      </c>
    </row>
    <row r="181">
      <c r="A181" s="34" t="s">
        <v>1071</v>
      </c>
      <c r="B181" s="35" t="s">
        <v>1356</v>
      </c>
      <c r="C181" s="35" t="s">
        <v>1357</v>
      </c>
      <c r="D181" s="35" t="s">
        <v>1358</v>
      </c>
      <c r="E181" s="36">
        <v>2010.0</v>
      </c>
      <c r="F181" s="35" t="s">
        <v>647</v>
      </c>
      <c r="G181" s="36" t="s">
        <v>648</v>
      </c>
      <c r="H181" s="36" t="s">
        <v>1077</v>
      </c>
      <c r="I181" s="37" t="s">
        <v>1359</v>
      </c>
    </row>
    <row r="182">
      <c r="A182" s="34" t="s">
        <v>1071</v>
      </c>
      <c r="B182" s="35" t="s">
        <v>1360</v>
      </c>
      <c r="C182" s="35" t="s">
        <v>1361</v>
      </c>
      <c r="D182" s="35" t="s">
        <v>1362</v>
      </c>
      <c r="E182" s="36">
        <v>2010.0</v>
      </c>
      <c r="F182" s="35" t="s">
        <v>1254</v>
      </c>
      <c r="G182" s="36" t="s">
        <v>1076</v>
      </c>
      <c r="H182" s="36" t="s">
        <v>702</v>
      </c>
      <c r="I182" s="39" t="s">
        <v>1363</v>
      </c>
    </row>
    <row r="183">
      <c r="A183" s="34" t="s">
        <v>1071</v>
      </c>
      <c r="B183" s="35" t="s">
        <v>1364</v>
      </c>
      <c r="C183" s="35" t="s">
        <v>1365</v>
      </c>
      <c r="D183" s="35" t="s">
        <v>1366</v>
      </c>
      <c r="E183" s="36">
        <v>2010.0</v>
      </c>
      <c r="F183" s="35" t="s">
        <v>806</v>
      </c>
      <c r="G183" s="36" t="s">
        <v>1367</v>
      </c>
      <c r="H183" s="36" t="s">
        <v>702</v>
      </c>
      <c r="I183" s="37" t="s">
        <v>1368</v>
      </c>
    </row>
    <row r="184">
      <c r="A184" s="34" t="s">
        <v>1071</v>
      </c>
      <c r="B184" s="35" t="s">
        <v>1369</v>
      </c>
      <c r="C184" s="35" t="s">
        <v>1370</v>
      </c>
      <c r="D184" s="35" t="s">
        <v>1371</v>
      </c>
      <c r="E184" s="36">
        <v>2010.0</v>
      </c>
      <c r="F184" s="35" t="s">
        <v>729</v>
      </c>
      <c r="G184" s="36" t="s">
        <v>1076</v>
      </c>
      <c r="H184" s="36" t="s">
        <v>1077</v>
      </c>
      <c r="I184" s="37" t="s">
        <v>1372</v>
      </c>
    </row>
    <row r="185">
      <c r="A185" s="34" t="s">
        <v>1071</v>
      </c>
      <c r="B185" s="35" t="s">
        <v>1373</v>
      </c>
      <c r="C185" s="35" t="s">
        <v>1374</v>
      </c>
      <c r="D185" s="35" t="s">
        <v>1375</v>
      </c>
      <c r="E185" s="36">
        <v>2020.0</v>
      </c>
      <c r="F185" s="35" t="s">
        <v>1024</v>
      </c>
      <c r="G185" s="36" t="s">
        <v>1322</v>
      </c>
      <c r="H185" s="36" t="s">
        <v>656</v>
      </c>
      <c r="I185" s="37" t="s">
        <v>1376</v>
      </c>
    </row>
    <row r="186">
      <c r="A186" s="34" t="s">
        <v>1071</v>
      </c>
      <c r="B186" s="35" t="s">
        <v>1377</v>
      </c>
      <c r="C186" s="35" t="s">
        <v>1378</v>
      </c>
      <c r="D186" s="35" t="s">
        <v>1379</v>
      </c>
      <c r="E186" s="36">
        <v>2020.0</v>
      </c>
      <c r="F186" s="35" t="s">
        <v>647</v>
      </c>
      <c r="G186" s="36" t="s">
        <v>1322</v>
      </c>
      <c r="H186" s="36" t="s">
        <v>656</v>
      </c>
      <c r="I186" s="37" t="s">
        <v>256</v>
      </c>
    </row>
    <row r="187">
      <c r="A187" s="34" t="s">
        <v>1071</v>
      </c>
      <c r="B187" s="35" t="s">
        <v>1380</v>
      </c>
      <c r="C187" s="35" t="s">
        <v>1381</v>
      </c>
      <c r="D187" s="35" t="s">
        <v>1382</v>
      </c>
      <c r="E187" s="36">
        <v>2010.0</v>
      </c>
      <c r="F187" s="35" t="s">
        <v>832</v>
      </c>
      <c r="G187" s="36" t="s">
        <v>1322</v>
      </c>
      <c r="H187" s="36" t="s">
        <v>702</v>
      </c>
      <c r="I187" s="37" t="s">
        <v>1381</v>
      </c>
    </row>
    <row r="188">
      <c r="A188" s="34" t="s">
        <v>1071</v>
      </c>
      <c r="B188" s="35" t="s">
        <v>1383</v>
      </c>
      <c r="C188" s="35" t="s">
        <v>1384</v>
      </c>
      <c r="D188" s="35" t="s">
        <v>1385</v>
      </c>
      <c r="E188" s="36">
        <v>2020.0</v>
      </c>
      <c r="F188" s="35" t="s">
        <v>1208</v>
      </c>
      <c r="G188" s="36" t="s">
        <v>1322</v>
      </c>
      <c r="H188" s="36" t="s">
        <v>656</v>
      </c>
      <c r="I188" s="37" t="s">
        <v>348</v>
      </c>
    </row>
    <row r="189">
      <c r="A189" s="34" t="s">
        <v>1071</v>
      </c>
      <c r="B189" s="35" t="s">
        <v>1386</v>
      </c>
      <c r="C189" s="35" t="s">
        <v>1387</v>
      </c>
      <c r="D189" s="35" t="s">
        <v>1388</v>
      </c>
      <c r="E189" s="36">
        <v>2020.0</v>
      </c>
      <c r="F189" s="35" t="s">
        <v>729</v>
      </c>
      <c r="G189" s="36" t="s">
        <v>1389</v>
      </c>
      <c r="H189" s="36" t="s">
        <v>656</v>
      </c>
      <c r="I189" s="37" t="s">
        <v>1387</v>
      </c>
    </row>
    <row r="190">
      <c r="A190" s="34" t="s">
        <v>1071</v>
      </c>
      <c r="B190" s="35" t="s">
        <v>1390</v>
      </c>
      <c r="C190" s="35" t="s">
        <v>1391</v>
      </c>
      <c r="D190" s="35" t="s">
        <v>1392</v>
      </c>
      <c r="E190" s="36">
        <v>2020.0</v>
      </c>
      <c r="F190" s="35" t="s">
        <v>729</v>
      </c>
      <c r="G190" s="36" t="s">
        <v>1305</v>
      </c>
      <c r="H190" s="36" t="s">
        <v>656</v>
      </c>
      <c r="I190" s="37" t="s">
        <v>1391</v>
      </c>
    </row>
    <row r="191">
      <c r="A191" s="34" t="s">
        <v>1071</v>
      </c>
      <c r="B191" s="35" t="s">
        <v>1112</v>
      </c>
      <c r="C191" s="35" t="s">
        <v>1393</v>
      </c>
      <c r="D191" s="35" t="s">
        <v>1394</v>
      </c>
      <c r="E191" s="36">
        <v>2020.0</v>
      </c>
      <c r="F191" s="35" t="s">
        <v>647</v>
      </c>
      <c r="G191" s="36" t="s">
        <v>1395</v>
      </c>
      <c r="H191" s="36" t="s">
        <v>702</v>
      </c>
      <c r="I191" s="37" t="s">
        <v>1396</v>
      </c>
    </row>
    <row r="192">
      <c r="A192" s="34" t="s">
        <v>1071</v>
      </c>
      <c r="B192" s="35" t="s">
        <v>679</v>
      </c>
      <c r="C192" s="35" t="s">
        <v>1397</v>
      </c>
      <c r="D192" s="35" t="s">
        <v>1398</v>
      </c>
      <c r="E192" s="36">
        <v>2010.0</v>
      </c>
      <c r="F192" s="35" t="s">
        <v>647</v>
      </c>
      <c r="G192" s="36" t="s">
        <v>1399</v>
      </c>
      <c r="H192" s="36" t="s">
        <v>1077</v>
      </c>
      <c r="I192" s="37" t="s">
        <v>1400</v>
      </c>
    </row>
    <row r="193">
      <c r="A193" s="34" t="s">
        <v>1071</v>
      </c>
      <c r="B193" s="35" t="s">
        <v>1401</v>
      </c>
      <c r="C193" s="35" t="s">
        <v>1402</v>
      </c>
      <c r="D193" s="35" t="s">
        <v>1403</v>
      </c>
      <c r="E193" s="36">
        <v>2010.0</v>
      </c>
      <c r="F193" s="35" t="s">
        <v>832</v>
      </c>
      <c r="G193" s="36" t="s">
        <v>1076</v>
      </c>
      <c r="H193" s="36" t="s">
        <v>1077</v>
      </c>
      <c r="I193" s="37" t="s">
        <v>1404</v>
      </c>
    </row>
    <row r="194">
      <c r="A194" s="34" t="s">
        <v>1071</v>
      </c>
      <c r="B194" s="35" t="s">
        <v>1405</v>
      </c>
      <c r="C194" s="35" t="s">
        <v>1406</v>
      </c>
      <c r="D194" s="35" t="s">
        <v>1407</v>
      </c>
      <c r="E194" s="36">
        <v>2020.0</v>
      </c>
      <c r="F194" s="35" t="s">
        <v>1091</v>
      </c>
      <c r="G194" s="36" t="s">
        <v>1408</v>
      </c>
      <c r="H194" s="36" t="s">
        <v>1077</v>
      </c>
      <c r="I194" s="37" t="s">
        <v>1406</v>
      </c>
    </row>
    <row r="195">
      <c r="A195" s="34" t="s">
        <v>1071</v>
      </c>
      <c r="B195" s="35" t="s">
        <v>1409</v>
      </c>
      <c r="C195" s="35" t="s">
        <v>1410</v>
      </c>
      <c r="D195" s="35" t="s">
        <v>1411</v>
      </c>
      <c r="E195" s="36">
        <v>2020.0</v>
      </c>
      <c r="F195" s="35" t="s">
        <v>1412</v>
      </c>
      <c r="G195" s="36" t="s">
        <v>1413</v>
      </c>
      <c r="H195" s="36" t="s">
        <v>1077</v>
      </c>
      <c r="I195" s="37" t="s">
        <v>1414</v>
      </c>
    </row>
    <row r="196">
      <c r="A196" s="34" t="s">
        <v>1071</v>
      </c>
      <c r="B196" s="35" t="s">
        <v>1415</v>
      </c>
      <c r="C196" s="35" t="s">
        <v>1416</v>
      </c>
      <c r="D196" s="35" t="s">
        <v>1417</v>
      </c>
      <c r="E196" s="36">
        <v>2020.0</v>
      </c>
      <c r="F196" s="35" t="s">
        <v>832</v>
      </c>
      <c r="G196" s="36" t="s">
        <v>1281</v>
      </c>
      <c r="H196" s="36" t="s">
        <v>702</v>
      </c>
      <c r="I196" s="37" t="s">
        <v>1418</v>
      </c>
    </row>
    <row r="197">
      <c r="A197" s="34" t="s">
        <v>1071</v>
      </c>
      <c r="B197" s="35" t="s">
        <v>1419</v>
      </c>
      <c r="C197" s="35" t="s">
        <v>1420</v>
      </c>
      <c r="D197" s="35" t="s">
        <v>1421</v>
      </c>
      <c r="E197" s="36">
        <v>2020.0</v>
      </c>
      <c r="F197" s="35" t="s">
        <v>832</v>
      </c>
      <c r="G197" s="36" t="s">
        <v>1076</v>
      </c>
      <c r="H197" s="36" t="s">
        <v>1077</v>
      </c>
      <c r="I197" s="37" t="s">
        <v>1422</v>
      </c>
    </row>
    <row r="198">
      <c r="A198" s="34" t="s">
        <v>1071</v>
      </c>
      <c r="B198" s="35" t="s">
        <v>1423</v>
      </c>
      <c r="C198" s="35" t="s">
        <v>1424</v>
      </c>
      <c r="D198" s="35" t="s">
        <v>1425</v>
      </c>
      <c r="E198" s="36">
        <v>2010.0</v>
      </c>
      <c r="F198" s="35" t="s">
        <v>1075</v>
      </c>
      <c r="G198" s="36" t="s">
        <v>148</v>
      </c>
      <c r="H198" s="36" t="s">
        <v>796</v>
      </c>
      <c r="I198" s="37" t="s">
        <v>1426</v>
      </c>
    </row>
    <row r="199">
      <c r="A199" s="34" t="s">
        <v>1071</v>
      </c>
      <c r="B199" s="35" t="s">
        <v>1423</v>
      </c>
      <c r="C199" s="35" t="s">
        <v>1427</v>
      </c>
      <c r="D199" s="35" t="s">
        <v>1428</v>
      </c>
      <c r="E199" s="36">
        <v>2010.0</v>
      </c>
      <c r="F199" s="35" t="s">
        <v>1075</v>
      </c>
      <c r="G199" s="36" t="s">
        <v>148</v>
      </c>
      <c r="H199" s="36" t="s">
        <v>796</v>
      </c>
      <c r="I199" s="37" t="s">
        <v>1429</v>
      </c>
    </row>
    <row r="200">
      <c r="A200" s="34" t="s">
        <v>1071</v>
      </c>
      <c r="B200" s="35" t="s">
        <v>1430</v>
      </c>
      <c r="C200" s="35" t="s">
        <v>1431</v>
      </c>
      <c r="D200" s="35" t="s">
        <v>1432</v>
      </c>
      <c r="E200" s="36">
        <v>2010.0</v>
      </c>
      <c r="F200" s="35" t="s">
        <v>832</v>
      </c>
      <c r="G200" s="36" t="s">
        <v>1433</v>
      </c>
      <c r="H200" s="36" t="s">
        <v>1077</v>
      </c>
      <c r="I200" s="37" t="s">
        <v>1431</v>
      </c>
    </row>
    <row r="201">
      <c r="A201" s="34" t="s">
        <v>1071</v>
      </c>
      <c r="B201" s="35" t="s">
        <v>1434</v>
      </c>
      <c r="C201" s="35" t="s">
        <v>1435</v>
      </c>
      <c r="D201" s="35" t="s">
        <v>1436</v>
      </c>
      <c r="E201" s="36">
        <v>2010.0</v>
      </c>
      <c r="F201" s="35" t="s">
        <v>647</v>
      </c>
      <c r="G201" s="36" t="s">
        <v>1076</v>
      </c>
      <c r="H201" s="36" t="s">
        <v>1077</v>
      </c>
      <c r="I201" s="37" t="s">
        <v>1435</v>
      </c>
    </row>
    <row r="202">
      <c r="A202" s="34" t="s">
        <v>1071</v>
      </c>
      <c r="B202" s="35" t="s">
        <v>1293</v>
      </c>
      <c r="C202" s="35" t="s">
        <v>1437</v>
      </c>
      <c r="D202" s="35" t="s">
        <v>1438</v>
      </c>
      <c r="E202" s="36">
        <v>2010.0</v>
      </c>
      <c r="F202" s="35" t="s">
        <v>647</v>
      </c>
      <c r="G202" s="36" t="s">
        <v>1076</v>
      </c>
      <c r="H202" s="36" t="s">
        <v>1077</v>
      </c>
      <c r="I202" s="37" t="s">
        <v>1439</v>
      </c>
    </row>
    <row r="203">
      <c r="A203" s="40" t="s">
        <v>1071</v>
      </c>
      <c r="B203" s="41" t="s">
        <v>880</v>
      </c>
      <c r="C203" s="41" t="s">
        <v>1440</v>
      </c>
      <c r="D203" s="41" t="s">
        <v>1441</v>
      </c>
      <c r="E203" s="42">
        <v>2010.0</v>
      </c>
      <c r="F203" s="41" t="s">
        <v>950</v>
      </c>
      <c r="G203" s="42" t="s">
        <v>1076</v>
      </c>
      <c r="H203" s="42" t="s">
        <v>702</v>
      </c>
      <c r="I203" s="43" t="s">
        <v>1442</v>
      </c>
    </row>
    <row r="204">
      <c r="A204" s="44"/>
      <c r="E204" s="44"/>
      <c r="G204" s="44"/>
      <c r="H204" s="44"/>
    </row>
    <row r="205">
      <c r="A205" s="44"/>
      <c r="E205" s="44"/>
      <c r="G205" s="44"/>
      <c r="H205" s="44"/>
    </row>
    <row r="206">
      <c r="A206" s="44"/>
      <c r="E206" s="44"/>
      <c r="G206" s="44"/>
      <c r="H206" s="44"/>
    </row>
    <row r="207">
      <c r="A207" s="44"/>
      <c r="E207" s="44"/>
      <c r="G207" s="44"/>
      <c r="H207" s="44"/>
    </row>
    <row r="208">
      <c r="A208" s="44"/>
      <c r="E208" s="44"/>
      <c r="G208" s="44"/>
      <c r="H208" s="44"/>
    </row>
    <row r="209">
      <c r="A209" s="44"/>
      <c r="E209" s="44"/>
      <c r="G209" s="44"/>
      <c r="H209" s="44"/>
    </row>
  </sheetData>
  <customSheetViews>
    <customSheetView guid="{E41A0FDF-88F5-4500-B78C-CC8257FD3744}" filter="1" showAutoFilter="1">
      <autoFilter ref="$A$1:$A$209"/>
    </customSheetView>
  </customSheetViews>
  <hyperlinks>
    <hyperlink r:id="rId1" ref="C13"/>
    <hyperlink r:id="rId2" ref="C20"/>
    <hyperlink r:id="rId3" ref="C21"/>
    <hyperlink r:id="rId4" ref="C31"/>
    <hyperlink r:id="rId5" ref="C51"/>
    <hyperlink r:id="rId6" ref="C96"/>
    <hyperlink r:id="rId7" ref="I96"/>
    <hyperlink r:id="rId8" ref="C175"/>
    <hyperlink r:id="rId9" ref="I182"/>
  </hyperlinks>
  <drawing r:id="rId10"/>
  <tableParts count="1">
    <tablePart r:id="rId1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11.63"/>
    <col customWidth="1" min="3" max="3" width="28.38"/>
    <col customWidth="1" min="4" max="4" width="11.88"/>
    <col customWidth="1" min="5" max="5" width="13.75"/>
    <col customWidth="1" min="6" max="6" width="9.63"/>
    <col customWidth="1" min="7" max="7" width="10.5"/>
    <col customWidth="1" min="8" max="8" width="15.38"/>
    <col customWidth="1" min="9" max="9" width="15.0"/>
    <col customWidth="1" min="10" max="10" width="15.5"/>
  </cols>
  <sheetData>
    <row r="1">
      <c r="A1" s="45" t="s">
        <v>1443</v>
      </c>
      <c r="B1" s="46" t="s">
        <v>1444</v>
      </c>
      <c r="C1" s="45" t="s">
        <v>1445</v>
      </c>
      <c r="D1" s="46" t="s">
        <v>1446</v>
      </c>
      <c r="E1" s="45" t="s">
        <v>1447</v>
      </c>
      <c r="F1" s="46" t="s">
        <v>1448</v>
      </c>
      <c r="G1" s="45" t="s">
        <v>1449</v>
      </c>
      <c r="H1" s="45" t="s">
        <v>1450</v>
      </c>
      <c r="I1" s="46" t="s">
        <v>1451</v>
      </c>
      <c r="J1" s="46" t="s">
        <v>1452</v>
      </c>
    </row>
    <row r="2">
      <c r="A2" s="23" t="s">
        <v>993</v>
      </c>
      <c r="B2" s="24">
        <v>9.0</v>
      </c>
      <c r="C2" s="23" t="s">
        <v>1453</v>
      </c>
      <c r="D2" s="24">
        <v>1200.0</v>
      </c>
      <c r="E2" s="23" t="s">
        <v>1454</v>
      </c>
      <c r="F2" s="24">
        <v>13.0</v>
      </c>
      <c r="G2" s="23" t="s">
        <v>551</v>
      </c>
      <c r="H2" s="23" t="s">
        <v>1455</v>
      </c>
      <c r="I2" s="24">
        <v>95.0</v>
      </c>
      <c r="J2" s="47" t="str">
        <f t="shared" ref="J2:J269" si="1">IF(B2&gt;=8, "Alto (8-10)", IF(B2&gt;=5, "Medio (5-7)","Bajo (1-4)"))</f>
        <v>Alto (8-10)</v>
      </c>
    </row>
    <row r="3">
      <c r="A3" s="23" t="s">
        <v>496</v>
      </c>
      <c r="B3" s="24">
        <v>8.0</v>
      </c>
      <c r="C3" s="23" t="s">
        <v>1456</v>
      </c>
      <c r="D3" s="24">
        <v>2000.0</v>
      </c>
      <c r="E3" s="23" t="s">
        <v>1457</v>
      </c>
      <c r="F3" s="24">
        <v>13.0</v>
      </c>
      <c r="G3" s="23" t="s">
        <v>69</v>
      </c>
      <c r="H3" s="23" t="s">
        <v>1455</v>
      </c>
      <c r="I3" s="24">
        <v>30.0</v>
      </c>
      <c r="J3" s="47" t="str">
        <f t="shared" si="1"/>
        <v>Alto (8-10)</v>
      </c>
    </row>
    <row r="4">
      <c r="A4" s="23" t="s">
        <v>450</v>
      </c>
      <c r="B4" s="24">
        <v>10.0</v>
      </c>
      <c r="C4" s="23" t="s">
        <v>1458</v>
      </c>
      <c r="D4" s="24">
        <v>2900.0</v>
      </c>
      <c r="E4" s="23" t="s">
        <v>855</v>
      </c>
      <c r="F4" s="24">
        <v>13.0</v>
      </c>
      <c r="G4" s="23" t="s">
        <v>69</v>
      </c>
      <c r="H4" s="23" t="s">
        <v>1459</v>
      </c>
      <c r="I4" s="24">
        <v>35.0</v>
      </c>
      <c r="J4" s="47" t="str">
        <f t="shared" si="1"/>
        <v>Alto (8-10)</v>
      </c>
    </row>
    <row r="5">
      <c r="A5" s="23" t="s">
        <v>491</v>
      </c>
      <c r="B5" s="24">
        <v>5.0</v>
      </c>
      <c r="C5" s="23" t="s">
        <v>1460</v>
      </c>
      <c r="D5" s="24">
        <v>2000.0</v>
      </c>
      <c r="E5" s="23" t="s">
        <v>679</v>
      </c>
      <c r="F5" s="24">
        <v>16.0</v>
      </c>
      <c r="G5" s="23" t="s">
        <v>69</v>
      </c>
      <c r="H5" s="23" t="s">
        <v>1461</v>
      </c>
      <c r="I5" s="24">
        <v>28.0</v>
      </c>
      <c r="J5" s="47" t="str">
        <f t="shared" si="1"/>
        <v>Medio (5-7)</v>
      </c>
    </row>
    <row r="6">
      <c r="A6" s="23" t="s">
        <v>869</v>
      </c>
      <c r="B6" s="24">
        <v>3.0</v>
      </c>
      <c r="C6" s="23" t="s">
        <v>1462</v>
      </c>
      <c r="D6" s="24">
        <v>800.0</v>
      </c>
      <c r="E6" s="23" t="s">
        <v>1463</v>
      </c>
      <c r="F6" s="24">
        <v>16.0</v>
      </c>
      <c r="G6" s="23" t="s">
        <v>69</v>
      </c>
      <c r="H6" s="23" t="s">
        <v>1464</v>
      </c>
      <c r="I6" s="24">
        <v>10.0</v>
      </c>
      <c r="J6" s="47" t="str">
        <f t="shared" si="1"/>
        <v>Bajo (1-4)</v>
      </c>
    </row>
    <row r="7">
      <c r="A7" s="23" t="s">
        <v>459</v>
      </c>
      <c r="B7" s="24">
        <v>6.0</v>
      </c>
      <c r="C7" s="23" t="s">
        <v>1465</v>
      </c>
      <c r="D7" s="24">
        <v>2500.0</v>
      </c>
      <c r="E7" s="23" t="s">
        <v>1454</v>
      </c>
      <c r="F7" s="24">
        <v>13.0</v>
      </c>
      <c r="G7" s="23" t="s">
        <v>69</v>
      </c>
      <c r="H7" s="23" t="s">
        <v>1455</v>
      </c>
      <c r="I7" s="24">
        <v>40.0</v>
      </c>
      <c r="J7" s="47" t="str">
        <f t="shared" si="1"/>
        <v>Medio (5-7)</v>
      </c>
    </row>
    <row r="8">
      <c r="A8" s="23" t="s">
        <v>943</v>
      </c>
      <c r="B8" s="24">
        <v>8.0</v>
      </c>
      <c r="C8" s="23" t="s">
        <v>1466</v>
      </c>
      <c r="D8" s="24">
        <v>750.0</v>
      </c>
      <c r="E8" s="23" t="s">
        <v>679</v>
      </c>
      <c r="F8" s="24">
        <v>13.0</v>
      </c>
      <c r="G8" s="23" t="s">
        <v>69</v>
      </c>
      <c r="H8" s="23" t="s">
        <v>1455</v>
      </c>
      <c r="I8" s="24">
        <v>25.0</v>
      </c>
      <c r="J8" s="47" t="str">
        <f t="shared" si="1"/>
        <v>Alto (8-10)</v>
      </c>
    </row>
    <row r="9">
      <c r="A9" s="23" t="s">
        <v>1467</v>
      </c>
      <c r="B9" s="24">
        <v>7.0</v>
      </c>
      <c r="C9" s="23" t="s">
        <v>1468</v>
      </c>
      <c r="D9" s="24">
        <v>550.0</v>
      </c>
      <c r="E9" s="23" t="s">
        <v>471</v>
      </c>
      <c r="F9" s="24">
        <v>13.0</v>
      </c>
      <c r="G9" s="23" t="s">
        <v>69</v>
      </c>
      <c r="H9" s="23" t="s">
        <v>1469</v>
      </c>
      <c r="I9" s="24">
        <v>30.0</v>
      </c>
      <c r="J9" s="47" t="str">
        <f t="shared" si="1"/>
        <v>Medio (5-7)</v>
      </c>
    </row>
    <row r="10">
      <c r="A10" s="23" t="s">
        <v>967</v>
      </c>
      <c r="B10" s="24">
        <v>7.0</v>
      </c>
      <c r="C10" s="23" t="s">
        <v>1470</v>
      </c>
      <c r="D10" s="24">
        <v>800.0</v>
      </c>
      <c r="E10" s="23" t="s">
        <v>679</v>
      </c>
      <c r="F10" s="24">
        <v>16.0</v>
      </c>
      <c r="G10" s="23" t="s">
        <v>1471</v>
      </c>
      <c r="H10" s="23" t="s">
        <v>1472</v>
      </c>
      <c r="I10" s="24">
        <v>20.0</v>
      </c>
      <c r="J10" s="47" t="str">
        <f t="shared" si="1"/>
        <v>Medio (5-7)</v>
      </c>
    </row>
    <row r="11">
      <c r="A11" s="23" t="s">
        <v>940</v>
      </c>
      <c r="B11" s="24">
        <v>4.0</v>
      </c>
      <c r="C11" s="23" t="s">
        <v>1473</v>
      </c>
      <c r="D11" s="24">
        <v>460.0</v>
      </c>
      <c r="E11" s="23" t="s">
        <v>1457</v>
      </c>
      <c r="F11" s="24">
        <v>13.0</v>
      </c>
      <c r="G11" s="23" t="s">
        <v>69</v>
      </c>
      <c r="H11" s="23" t="s">
        <v>1455</v>
      </c>
      <c r="I11" s="24">
        <v>15.0</v>
      </c>
      <c r="J11" s="47" t="str">
        <f t="shared" si="1"/>
        <v>Bajo (1-4)</v>
      </c>
    </row>
    <row r="12">
      <c r="A12" s="23" t="s">
        <v>892</v>
      </c>
      <c r="B12" s="24">
        <v>6.0</v>
      </c>
      <c r="C12" s="23" t="s">
        <v>1474</v>
      </c>
      <c r="D12" s="24">
        <v>500.0</v>
      </c>
      <c r="E12" s="23" t="s">
        <v>1475</v>
      </c>
      <c r="F12" s="24">
        <v>13.0</v>
      </c>
      <c r="G12" s="23" t="s">
        <v>69</v>
      </c>
      <c r="H12" s="23" t="s">
        <v>1455</v>
      </c>
      <c r="I12" s="24">
        <v>20.0</v>
      </c>
      <c r="J12" s="47" t="str">
        <f t="shared" si="1"/>
        <v>Medio (5-7)</v>
      </c>
    </row>
    <row r="13">
      <c r="A13" s="23" t="s">
        <v>1059</v>
      </c>
      <c r="B13" s="24">
        <v>7.0</v>
      </c>
      <c r="C13" s="23" t="s">
        <v>1476</v>
      </c>
      <c r="D13" s="24">
        <v>150.0</v>
      </c>
      <c r="E13" s="23" t="s">
        <v>1477</v>
      </c>
      <c r="F13" s="24">
        <v>13.0</v>
      </c>
      <c r="G13" s="23" t="s">
        <v>69</v>
      </c>
      <c r="H13" s="23" t="s">
        <v>1472</v>
      </c>
      <c r="I13" s="24">
        <v>50.0</v>
      </c>
      <c r="J13" s="47" t="str">
        <f t="shared" si="1"/>
        <v>Medio (5-7)</v>
      </c>
    </row>
    <row r="14">
      <c r="A14" s="23" t="s">
        <v>948</v>
      </c>
      <c r="B14" s="24">
        <v>6.0</v>
      </c>
      <c r="C14" s="23" t="s">
        <v>1478</v>
      </c>
      <c r="D14" s="24">
        <v>140.0</v>
      </c>
      <c r="E14" s="23" t="s">
        <v>880</v>
      </c>
      <c r="F14" s="24">
        <v>13.0</v>
      </c>
      <c r="G14" s="23" t="s">
        <v>69</v>
      </c>
      <c r="H14" s="23" t="s">
        <v>1464</v>
      </c>
      <c r="I14" s="24">
        <v>90.0</v>
      </c>
      <c r="J14" s="47" t="str">
        <f t="shared" si="1"/>
        <v>Medio (5-7)</v>
      </c>
    </row>
    <row r="15">
      <c r="A15" s="23" t="s">
        <v>1033</v>
      </c>
      <c r="B15" s="24">
        <v>2.0</v>
      </c>
      <c r="C15" s="23" t="s">
        <v>1479</v>
      </c>
      <c r="D15" s="24">
        <v>230.0</v>
      </c>
      <c r="E15" s="23" t="s">
        <v>880</v>
      </c>
      <c r="F15" s="24">
        <v>18.0</v>
      </c>
      <c r="G15" s="23" t="s">
        <v>69</v>
      </c>
      <c r="H15" s="23" t="s">
        <v>1464</v>
      </c>
      <c r="I15" s="24">
        <v>60.0</v>
      </c>
      <c r="J15" s="47" t="str">
        <f t="shared" si="1"/>
        <v>Bajo (1-4)</v>
      </c>
    </row>
    <row r="16">
      <c r="A16" s="23" t="s">
        <v>483</v>
      </c>
      <c r="B16" s="24">
        <v>2.0</v>
      </c>
      <c r="C16" s="23" t="s">
        <v>1480</v>
      </c>
      <c r="D16" s="24">
        <v>500.0</v>
      </c>
      <c r="E16" s="23" t="s">
        <v>1481</v>
      </c>
      <c r="F16" s="24">
        <v>13.0</v>
      </c>
      <c r="G16" s="23" t="s">
        <v>423</v>
      </c>
      <c r="H16" s="23" t="s">
        <v>1472</v>
      </c>
      <c r="I16" s="24">
        <v>80.0</v>
      </c>
      <c r="J16" s="47" t="str">
        <f t="shared" si="1"/>
        <v>Bajo (1-4)</v>
      </c>
    </row>
    <row r="17">
      <c r="A17" s="23" t="s">
        <v>962</v>
      </c>
      <c r="B17" s="24">
        <v>8.0</v>
      </c>
      <c r="C17" s="23" t="s">
        <v>1482</v>
      </c>
      <c r="D17" s="24">
        <v>75.0</v>
      </c>
      <c r="E17" s="23" t="s">
        <v>961</v>
      </c>
      <c r="F17" s="24">
        <v>18.0</v>
      </c>
      <c r="G17" s="23" t="s">
        <v>69</v>
      </c>
      <c r="H17" s="23" t="s">
        <v>1472</v>
      </c>
      <c r="I17" s="24">
        <v>10.0</v>
      </c>
      <c r="J17" s="47" t="str">
        <f t="shared" si="1"/>
        <v>Alto (8-10)</v>
      </c>
    </row>
    <row r="18">
      <c r="A18" s="23" t="s">
        <v>1483</v>
      </c>
      <c r="B18" s="24">
        <v>7.0</v>
      </c>
      <c r="C18" s="23" t="s">
        <v>1484</v>
      </c>
      <c r="D18" s="24">
        <v>50.0</v>
      </c>
      <c r="E18" s="23" t="s">
        <v>961</v>
      </c>
      <c r="F18" s="24">
        <v>18.0</v>
      </c>
      <c r="G18" s="23" t="s">
        <v>69</v>
      </c>
      <c r="H18" s="23" t="s">
        <v>1472</v>
      </c>
      <c r="I18" s="24">
        <v>10.0</v>
      </c>
      <c r="J18" s="47" t="str">
        <f t="shared" si="1"/>
        <v>Medio (5-7)</v>
      </c>
    </row>
    <row r="19">
      <c r="A19" s="23" t="s">
        <v>1485</v>
      </c>
      <c r="B19" s="24">
        <v>9.0</v>
      </c>
      <c r="C19" s="23" t="s">
        <v>1486</v>
      </c>
      <c r="D19" s="24">
        <v>13.0</v>
      </c>
      <c r="E19" s="23" t="s">
        <v>961</v>
      </c>
      <c r="F19" s="24">
        <v>18.0</v>
      </c>
      <c r="G19" s="23" t="s">
        <v>69</v>
      </c>
      <c r="H19" s="23" t="s">
        <v>1455</v>
      </c>
      <c r="I19" s="24">
        <v>15.0</v>
      </c>
      <c r="J19" s="47" t="str">
        <f t="shared" si="1"/>
        <v>Alto (8-10)</v>
      </c>
    </row>
    <row r="20">
      <c r="A20" s="23" t="s">
        <v>1068</v>
      </c>
      <c r="B20" s="24">
        <v>8.0</v>
      </c>
      <c r="C20" s="23" t="s">
        <v>1487</v>
      </c>
      <c r="D20" s="24">
        <v>200.0</v>
      </c>
      <c r="E20" s="23" t="s">
        <v>1488</v>
      </c>
      <c r="F20" s="24">
        <v>13.0</v>
      </c>
      <c r="G20" s="23" t="s">
        <v>69</v>
      </c>
      <c r="H20" s="23" t="s">
        <v>1489</v>
      </c>
      <c r="I20" s="24">
        <v>120.0</v>
      </c>
      <c r="J20" s="47" t="str">
        <f t="shared" si="1"/>
        <v>Alto (8-10)</v>
      </c>
    </row>
    <row r="21">
      <c r="A21" s="23" t="s">
        <v>557</v>
      </c>
      <c r="B21" s="24">
        <v>6.0</v>
      </c>
      <c r="C21" s="23" t="s">
        <v>1490</v>
      </c>
      <c r="D21" s="24">
        <v>400.0</v>
      </c>
      <c r="E21" s="23" t="s">
        <v>1488</v>
      </c>
      <c r="F21" s="24">
        <v>13.0</v>
      </c>
      <c r="G21" s="23" t="s">
        <v>69</v>
      </c>
      <c r="H21" s="23" t="s">
        <v>1489</v>
      </c>
      <c r="I21" s="24">
        <v>60.0</v>
      </c>
      <c r="J21" s="47" t="str">
        <f t="shared" si="1"/>
        <v>Medio (5-7)</v>
      </c>
    </row>
    <row r="22">
      <c r="A22" s="23" t="s">
        <v>1491</v>
      </c>
      <c r="B22" s="24">
        <v>3.0</v>
      </c>
      <c r="C22" s="23" t="s">
        <v>1492</v>
      </c>
      <c r="D22" s="24">
        <v>140.0</v>
      </c>
      <c r="E22" s="23" t="s">
        <v>1488</v>
      </c>
      <c r="F22" s="24">
        <v>10.0</v>
      </c>
      <c r="G22" s="23" t="s">
        <v>423</v>
      </c>
      <c r="H22" s="23" t="s">
        <v>1493</v>
      </c>
      <c r="I22" s="24">
        <v>50.0</v>
      </c>
      <c r="J22" s="47" t="str">
        <f t="shared" si="1"/>
        <v>Bajo (1-4)</v>
      </c>
    </row>
    <row r="23">
      <c r="A23" s="23" t="s">
        <v>504</v>
      </c>
      <c r="B23" s="24">
        <v>4.0</v>
      </c>
      <c r="C23" s="23" t="s">
        <v>1494</v>
      </c>
      <c r="D23" s="24">
        <v>300.0</v>
      </c>
      <c r="E23" s="23" t="s">
        <v>1495</v>
      </c>
      <c r="F23" s="24">
        <v>16.0</v>
      </c>
      <c r="G23" s="23" t="s">
        <v>69</v>
      </c>
      <c r="H23" s="23" t="s">
        <v>1472</v>
      </c>
      <c r="I23" s="24">
        <v>40.0</v>
      </c>
      <c r="J23" s="47" t="str">
        <f t="shared" si="1"/>
        <v>Bajo (1-4)</v>
      </c>
    </row>
    <row r="24">
      <c r="A24" s="23" t="s">
        <v>982</v>
      </c>
      <c r="B24" s="24">
        <v>2.0</v>
      </c>
      <c r="C24" s="23" t="s">
        <v>1496</v>
      </c>
      <c r="D24" s="24">
        <v>20.0</v>
      </c>
      <c r="E24" s="23" t="s">
        <v>1495</v>
      </c>
      <c r="F24" s="24">
        <v>16.0</v>
      </c>
      <c r="G24" s="23" t="s">
        <v>69</v>
      </c>
      <c r="H24" s="23" t="s">
        <v>1464</v>
      </c>
      <c r="I24" s="24">
        <v>60.0</v>
      </c>
      <c r="J24" s="47" t="str">
        <f t="shared" si="1"/>
        <v>Bajo (1-4)</v>
      </c>
    </row>
    <row r="25">
      <c r="A25" s="23" t="s">
        <v>1497</v>
      </c>
      <c r="B25" s="24">
        <v>2.0</v>
      </c>
      <c r="C25" s="23" t="s">
        <v>1498</v>
      </c>
      <c r="D25" s="24">
        <v>280.0</v>
      </c>
      <c r="E25" s="23" t="s">
        <v>1495</v>
      </c>
      <c r="F25" s="24">
        <v>16.0</v>
      </c>
      <c r="G25" s="23" t="s">
        <v>69</v>
      </c>
      <c r="H25" s="23" t="s">
        <v>1464</v>
      </c>
      <c r="I25" s="24">
        <v>50.0</v>
      </c>
      <c r="J25" s="47" t="str">
        <f t="shared" si="1"/>
        <v>Bajo (1-4)</v>
      </c>
    </row>
    <row r="26">
      <c r="A26" s="23" t="s">
        <v>1055</v>
      </c>
      <c r="B26" s="24">
        <v>9.0</v>
      </c>
      <c r="C26" s="23" t="s">
        <v>1499</v>
      </c>
      <c r="D26" s="24">
        <v>1300.0</v>
      </c>
      <c r="E26" s="23" t="s">
        <v>1500</v>
      </c>
      <c r="F26" s="24">
        <v>13.0</v>
      </c>
      <c r="G26" s="23" t="s">
        <v>551</v>
      </c>
      <c r="H26" s="23" t="s">
        <v>1459</v>
      </c>
      <c r="I26" s="24">
        <v>80.0</v>
      </c>
      <c r="J26" s="47" t="str">
        <f t="shared" si="1"/>
        <v>Alto (8-10)</v>
      </c>
    </row>
    <row r="27">
      <c r="A27" s="23" t="s">
        <v>1501</v>
      </c>
      <c r="B27" s="24">
        <v>9.0</v>
      </c>
      <c r="C27" s="23" t="s">
        <v>1502</v>
      </c>
      <c r="D27" s="24">
        <v>700.0</v>
      </c>
      <c r="E27" s="23" t="s">
        <v>1454</v>
      </c>
      <c r="F27" s="24">
        <v>13.0</v>
      </c>
      <c r="G27" s="23" t="s">
        <v>551</v>
      </c>
      <c r="H27" s="23" t="s">
        <v>1455</v>
      </c>
      <c r="I27" s="24">
        <v>100.0</v>
      </c>
      <c r="J27" s="47" t="str">
        <f t="shared" si="1"/>
        <v>Alto (8-10)</v>
      </c>
    </row>
    <row r="28">
      <c r="A28" s="23" t="s">
        <v>1503</v>
      </c>
      <c r="B28" s="24">
        <v>8.0</v>
      </c>
      <c r="C28" s="23" t="s">
        <v>1504</v>
      </c>
      <c r="D28" s="24">
        <v>580.0</v>
      </c>
      <c r="E28" s="23" t="s">
        <v>471</v>
      </c>
      <c r="F28" s="24">
        <v>13.0</v>
      </c>
      <c r="G28" s="23" t="s">
        <v>551</v>
      </c>
      <c r="H28" s="23" t="s">
        <v>1455</v>
      </c>
      <c r="I28" s="24">
        <v>40.0</v>
      </c>
      <c r="J28" s="47" t="str">
        <f t="shared" si="1"/>
        <v>Alto (8-10)</v>
      </c>
    </row>
    <row r="29">
      <c r="A29" s="23" t="s">
        <v>1505</v>
      </c>
      <c r="B29" s="24">
        <v>4.0</v>
      </c>
      <c r="C29" s="23" t="s">
        <v>1506</v>
      </c>
      <c r="D29" s="24">
        <v>190.0</v>
      </c>
      <c r="E29" s="23" t="s">
        <v>679</v>
      </c>
      <c r="F29" s="24">
        <v>13.0</v>
      </c>
      <c r="G29" s="23" t="s">
        <v>285</v>
      </c>
      <c r="H29" s="23" t="s">
        <v>1472</v>
      </c>
      <c r="I29" s="24">
        <v>25.0</v>
      </c>
      <c r="J29" s="47" t="str">
        <f t="shared" si="1"/>
        <v>Bajo (1-4)</v>
      </c>
    </row>
    <row r="30">
      <c r="A30" s="23" t="s">
        <v>1507</v>
      </c>
      <c r="B30" s="24">
        <v>4.0</v>
      </c>
      <c r="C30" s="23" t="s">
        <v>1508</v>
      </c>
      <c r="D30" s="24">
        <v>50.0</v>
      </c>
      <c r="E30" s="23" t="s">
        <v>679</v>
      </c>
      <c r="F30" s="24">
        <v>13.0</v>
      </c>
      <c r="G30" s="23" t="s">
        <v>1509</v>
      </c>
      <c r="H30" s="23" t="s">
        <v>1472</v>
      </c>
      <c r="I30" s="24">
        <v>35.0</v>
      </c>
      <c r="J30" s="47" t="str">
        <f t="shared" si="1"/>
        <v>Bajo (1-4)</v>
      </c>
    </row>
    <row r="31">
      <c r="A31" s="23" t="s">
        <v>1510</v>
      </c>
      <c r="B31" s="24">
        <v>8.0</v>
      </c>
      <c r="C31" s="23" t="s">
        <v>1511</v>
      </c>
      <c r="D31" s="24">
        <v>100.0</v>
      </c>
      <c r="E31" s="23" t="s">
        <v>855</v>
      </c>
      <c r="F31" s="24">
        <v>13.0</v>
      </c>
      <c r="G31" s="23" t="s">
        <v>1512</v>
      </c>
      <c r="H31" s="23" t="s">
        <v>1455</v>
      </c>
      <c r="I31" s="24">
        <v>40.0</v>
      </c>
      <c r="J31" s="47" t="str">
        <f t="shared" si="1"/>
        <v>Alto (8-10)</v>
      </c>
    </row>
    <row r="32">
      <c r="A32" s="23" t="s">
        <v>1397</v>
      </c>
      <c r="B32" s="24">
        <v>1.0</v>
      </c>
      <c r="C32" s="23" t="s">
        <v>1513</v>
      </c>
      <c r="D32" s="24">
        <v>100.0</v>
      </c>
      <c r="E32" s="23" t="s">
        <v>679</v>
      </c>
      <c r="F32" s="24">
        <v>13.0</v>
      </c>
      <c r="G32" s="23" t="s">
        <v>69</v>
      </c>
      <c r="H32" s="23" t="s">
        <v>1514</v>
      </c>
      <c r="I32" s="24">
        <v>5.0</v>
      </c>
      <c r="J32" s="47" t="str">
        <f t="shared" si="1"/>
        <v>Bajo (1-4)</v>
      </c>
    </row>
    <row r="33">
      <c r="A33" s="23" t="s">
        <v>462</v>
      </c>
      <c r="B33" s="24">
        <v>3.0</v>
      </c>
      <c r="C33" s="23" t="s">
        <v>1515</v>
      </c>
      <c r="D33" s="24">
        <v>1000.0</v>
      </c>
      <c r="E33" s="23" t="s">
        <v>1516</v>
      </c>
      <c r="F33" s="24">
        <v>13.0</v>
      </c>
      <c r="G33" s="23" t="s">
        <v>69</v>
      </c>
      <c r="H33" s="23" t="s">
        <v>1459</v>
      </c>
      <c r="I33" s="24">
        <v>5.0</v>
      </c>
      <c r="J33" s="47" t="str">
        <f t="shared" si="1"/>
        <v>Bajo (1-4)</v>
      </c>
    </row>
    <row r="34">
      <c r="A34" s="23" t="s">
        <v>1517</v>
      </c>
      <c r="B34" s="24">
        <v>5.0</v>
      </c>
      <c r="C34" s="23" t="s">
        <v>1518</v>
      </c>
      <c r="D34" s="24">
        <v>1000.0</v>
      </c>
      <c r="E34" s="23" t="s">
        <v>1516</v>
      </c>
      <c r="F34" s="24">
        <v>13.0</v>
      </c>
      <c r="G34" s="23" t="s">
        <v>69</v>
      </c>
      <c r="H34" s="23" t="s">
        <v>1459</v>
      </c>
      <c r="I34" s="24">
        <v>2.0</v>
      </c>
      <c r="J34" s="47" t="str">
        <f t="shared" si="1"/>
        <v>Medio (5-7)</v>
      </c>
    </row>
    <row r="35">
      <c r="A35" s="23" t="s">
        <v>1519</v>
      </c>
      <c r="B35" s="24">
        <v>4.0</v>
      </c>
      <c r="C35" s="23" t="s">
        <v>1520</v>
      </c>
      <c r="D35" s="24">
        <v>1800.0</v>
      </c>
      <c r="E35" s="23" t="s">
        <v>227</v>
      </c>
      <c r="F35" s="24">
        <v>13.0</v>
      </c>
      <c r="G35" s="23" t="s">
        <v>69</v>
      </c>
      <c r="H35" s="23" t="s">
        <v>1459</v>
      </c>
      <c r="I35" s="24">
        <v>15.0</v>
      </c>
      <c r="J35" s="47" t="str">
        <f t="shared" si="1"/>
        <v>Bajo (1-4)</v>
      </c>
    </row>
    <row r="36">
      <c r="A36" s="23" t="s">
        <v>1521</v>
      </c>
      <c r="B36" s="24">
        <v>4.0</v>
      </c>
      <c r="C36" s="23" t="s">
        <v>1522</v>
      </c>
      <c r="D36" s="24">
        <v>400.0</v>
      </c>
      <c r="E36" s="23" t="s">
        <v>227</v>
      </c>
      <c r="F36" s="24">
        <v>13.0</v>
      </c>
      <c r="G36" s="23" t="s">
        <v>69</v>
      </c>
      <c r="H36" s="23" t="s">
        <v>979</v>
      </c>
      <c r="I36" s="24">
        <v>15.0</v>
      </c>
      <c r="J36" s="47" t="str">
        <f t="shared" si="1"/>
        <v>Bajo (1-4)</v>
      </c>
    </row>
    <row r="37">
      <c r="A37" s="23" t="s">
        <v>908</v>
      </c>
      <c r="B37" s="24">
        <v>3.0</v>
      </c>
      <c r="C37" s="23" t="s">
        <v>1523</v>
      </c>
      <c r="D37" s="24">
        <v>700.0</v>
      </c>
      <c r="E37" s="23" t="s">
        <v>1524</v>
      </c>
      <c r="F37" s="24">
        <v>13.0</v>
      </c>
      <c r="G37" s="23" t="s">
        <v>69</v>
      </c>
      <c r="H37" s="23" t="s">
        <v>1472</v>
      </c>
      <c r="I37" s="24">
        <v>5.0</v>
      </c>
      <c r="J37" s="47" t="str">
        <f t="shared" si="1"/>
        <v>Bajo (1-4)</v>
      </c>
    </row>
    <row r="38">
      <c r="A38" s="23" t="s">
        <v>1525</v>
      </c>
      <c r="B38" s="24">
        <v>3.0</v>
      </c>
      <c r="C38" s="23" t="s">
        <v>1526</v>
      </c>
      <c r="D38" s="24">
        <v>850.0</v>
      </c>
      <c r="E38" s="23" t="s">
        <v>1524</v>
      </c>
      <c r="F38" s="24">
        <v>13.0</v>
      </c>
      <c r="G38" s="23" t="s">
        <v>69</v>
      </c>
      <c r="H38" s="23" t="s">
        <v>1464</v>
      </c>
      <c r="I38" s="24">
        <v>2.0</v>
      </c>
      <c r="J38" s="47" t="str">
        <f t="shared" si="1"/>
        <v>Bajo (1-4)</v>
      </c>
    </row>
    <row r="39">
      <c r="A39" s="23" t="s">
        <v>1527</v>
      </c>
      <c r="B39" s="24">
        <v>9.0</v>
      </c>
      <c r="C39" s="23" t="s">
        <v>1528</v>
      </c>
      <c r="D39" s="24">
        <v>180.0</v>
      </c>
      <c r="E39" s="23" t="s">
        <v>1529</v>
      </c>
      <c r="F39" s="24">
        <v>18.0</v>
      </c>
      <c r="G39" s="23" t="s">
        <v>1530</v>
      </c>
      <c r="H39" s="23" t="s">
        <v>1531</v>
      </c>
      <c r="I39" s="24">
        <v>20.0</v>
      </c>
      <c r="J39" s="47" t="str">
        <f t="shared" si="1"/>
        <v>Alto (8-10)</v>
      </c>
    </row>
    <row r="40">
      <c r="A40" s="23" t="s">
        <v>1532</v>
      </c>
      <c r="B40" s="24">
        <v>9.0</v>
      </c>
      <c r="C40" s="23" t="s">
        <v>1533</v>
      </c>
      <c r="D40" s="24">
        <v>120.0</v>
      </c>
      <c r="E40" s="23" t="s">
        <v>1529</v>
      </c>
      <c r="F40" s="24">
        <v>18.0</v>
      </c>
      <c r="G40" s="23" t="s">
        <v>383</v>
      </c>
      <c r="H40" s="23" t="s">
        <v>1455</v>
      </c>
      <c r="I40" s="24">
        <v>10.0</v>
      </c>
      <c r="J40" s="47" t="str">
        <f t="shared" si="1"/>
        <v>Alto (8-10)</v>
      </c>
    </row>
    <row r="41">
      <c r="A41" s="23" t="s">
        <v>1534</v>
      </c>
      <c r="B41" s="24">
        <v>7.0</v>
      </c>
      <c r="C41" s="23" t="s">
        <v>1535</v>
      </c>
      <c r="D41" s="24">
        <v>150.0</v>
      </c>
      <c r="E41" s="23" t="s">
        <v>1536</v>
      </c>
      <c r="F41" s="24">
        <v>16.0</v>
      </c>
      <c r="G41" s="23" t="s">
        <v>551</v>
      </c>
      <c r="H41" s="23" t="s">
        <v>1537</v>
      </c>
      <c r="I41" s="24">
        <v>20.0</v>
      </c>
      <c r="J41" s="47" t="str">
        <f t="shared" si="1"/>
        <v>Medio (5-7)</v>
      </c>
    </row>
    <row r="42">
      <c r="A42" s="23" t="s">
        <v>1538</v>
      </c>
      <c r="B42" s="24">
        <v>8.0</v>
      </c>
      <c r="C42" s="23" t="s">
        <v>1539</v>
      </c>
      <c r="D42" s="24">
        <v>100.0</v>
      </c>
      <c r="E42" s="23" t="s">
        <v>1536</v>
      </c>
      <c r="F42" s="24">
        <v>16.0</v>
      </c>
      <c r="G42" s="23" t="s">
        <v>551</v>
      </c>
      <c r="H42" s="23" t="s">
        <v>1537</v>
      </c>
      <c r="I42" s="24">
        <v>25.0</v>
      </c>
      <c r="J42" s="47" t="str">
        <f t="shared" si="1"/>
        <v>Alto (8-10)</v>
      </c>
    </row>
    <row r="43">
      <c r="A43" s="23" t="s">
        <v>377</v>
      </c>
      <c r="B43" s="24">
        <v>3.0</v>
      </c>
      <c r="C43" s="23" t="s">
        <v>1540</v>
      </c>
      <c r="D43" s="24">
        <v>300.0</v>
      </c>
      <c r="E43" s="23" t="s">
        <v>1536</v>
      </c>
      <c r="F43" s="24">
        <v>18.0</v>
      </c>
      <c r="G43" s="23" t="s">
        <v>69</v>
      </c>
      <c r="H43" s="23" t="s">
        <v>1537</v>
      </c>
      <c r="I43" s="24">
        <v>15.0</v>
      </c>
      <c r="J43" s="47" t="str">
        <f t="shared" si="1"/>
        <v>Bajo (1-4)</v>
      </c>
    </row>
    <row r="44">
      <c r="A44" s="23" t="s">
        <v>1541</v>
      </c>
      <c r="B44" s="24">
        <v>5.0</v>
      </c>
      <c r="C44" s="23" t="s">
        <v>1542</v>
      </c>
      <c r="D44" s="24">
        <v>400.0</v>
      </c>
      <c r="E44" s="23" t="s">
        <v>1536</v>
      </c>
      <c r="F44" s="24">
        <v>18.0</v>
      </c>
      <c r="G44" s="23" t="s">
        <v>551</v>
      </c>
      <c r="H44" s="23" t="s">
        <v>1537</v>
      </c>
      <c r="I44" s="24">
        <v>15.0</v>
      </c>
      <c r="J44" s="47" t="str">
        <f t="shared" si="1"/>
        <v>Medio (5-7)</v>
      </c>
    </row>
    <row r="45">
      <c r="A45" s="23" t="s">
        <v>392</v>
      </c>
      <c r="B45" s="24">
        <v>4.0</v>
      </c>
      <c r="C45" s="23" t="s">
        <v>1543</v>
      </c>
      <c r="D45" s="24">
        <v>130.0</v>
      </c>
      <c r="E45" s="23" t="s">
        <v>1536</v>
      </c>
      <c r="F45" s="24">
        <v>18.0</v>
      </c>
      <c r="G45" s="23" t="s">
        <v>69</v>
      </c>
      <c r="H45" s="23" t="s">
        <v>1531</v>
      </c>
      <c r="I45" s="24">
        <v>10.0</v>
      </c>
      <c r="J45" s="47" t="str">
        <f t="shared" si="1"/>
        <v>Bajo (1-4)</v>
      </c>
    </row>
    <row r="46">
      <c r="A46" s="23" t="s">
        <v>937</v>
      </c>
      <c r="B46" s="24">
        <v>5.0</v>
      </c>
      <c r="C46" s="23" t="s">
        <v>1544</v>
      </c>
      <c r="D46" s="24">
        <v>150.0</v>
      </c>
      <c r="E46" s="23" t="s">
        <v>1545</v>
      </c>
      <c r="F46" s="24">
        <v>18.0</v>
      </c>
      <c r="G46" s="23" t="s">
        <v>69</v>
      </c>
      <c r="H46" s="23" t="s">
        <v>1531</v>
      </c>
      <c r="I46" s="24">
        <v>15.0</v>
      </c>
      <c r="J46" s="47" t="str">
        <f t="shared" si="1"/>
        <v>Medio (5-7)</v>
      </c>
    </row>
    <row r="47">
      <c r="A47" s="23" t="s">
        <v>934</v>
      </c>
      <c r="B47" s="24">
        <v>5.0</v>
      </c>
      <c r="C47" s="23" t="s">
        <v>1546</v>
      </c>
      <c r="D47" s="24">
        <v>130.0</v>
      </c>
      <c r="E47" s="23" t="s">
        <v>521</v>
      </c>
      <c r="F47" s="24">
        <v>18.0</v>
      </c>
      <c r="G47" s="23" t="s">
        <v>69</v>
      </c>
      <c r="H47" s="23" t="s">
        <v>1531</v>
      </c>
      <c r="I47" s="24">
        <v>10.0</v>
      </c>
      <c r="J47" s="47" t="str">
        <f t="shared" si="1"/>
        <v>Medio (5-7)</v>
      </c>
    </row>
    <row r="48">
      <c r="A48" s="23" t="s">
        <v>1547</v>
      </c>
      <c r="B48" s="24">
        <v>4.0</v>
      </c>
      <c r="C48" s="23" t="s">
        <v>1548</v>
      </c>
      <c r="D48" s="24">
        <v>5.0</v>
      </c>
      <c r="E48" s="23" t="s">
        <v>521</v>
      </c>
      <c r="F48" s="24">
        <v>18.0</v>
      </c>
      <c r="G48" s="23" t="s">
        <v>1549</v>
      </c>
      <c r="H48" s="23" t="s">
        <v>1531</v>
      </c>
      <c r="I48" s="24">
        <v>10.0</v>
      </c>
      <c r="J48" s="47" t="str">
        <f t="shared" si="1"/>
        <v>Bajo (1-4)</v>
      </c>
    </row>
    <row r="49">
      <c r="A49" s="23" t="s">
        <v>1550</v>
      </c>
      <c r="B49" s="24">
        <v>4.0</v>
      </c>
      <c r="C49" s="23" t="s">
        <v>1551</v>
      </c>
      <c r="D49" s="24">
        <v>90.0</v>
      </c>
      <c r="E49" s="23" t="s">
        <v>521</v>
      </c>
      <c r="F49" s="24">
        <v>18.0</v>
      </c>
      <c r="G49" s="23" t="s">
        <v>45</v>
      </c>
      <c r="H49" s="23" t="s">
        <v>1531</v>
      </c>
      <c r="I49" s="24">
        <v>10.0</v>
      </c>
      <c r="J49" s="47" t="str">
        <f t="shared" si="1"/>
        <v>Bajo (1-4)</v>
      </c>
    </row>
    <row r="50">
      <c r="A50" s="23" t="s">
        <v>1552</v>
      </c>
      <c r="B50" s="24">
        <v>3.0</v>
      </c>
      <c r="C50" s="23" t="s">
        <v>1553</v>
      </c>
      <c r="D50" s="24">
        <v>500.0</v>
      </c>
      <c r="E50" s="23" t="s">
        <v>1545</v>
      </c>
      <c r="F50" s="24">
        <v>18.0</v>
      </c>
      <c r="G50" s="23" t="s">
        <v>359</v>
      </c>
      <c r="H50" s="23" t="s">
        <v>1531</v>
      </c>
      <c r="I50" s="24">
        <v>15.0</v>
      </c>
      <c r="J50" s="47" t="str">
        <f t="shared" si="1"/>
        <v>Bajo (1-4)</v>
      </c>
    </row>
    <row r="51">
      <c r="A51" s="23" t="s">
        <v>1052</v>
      </c>
      <c r="B51" s="24">
        <v>3.0</v>
      </c>
      <c r="C51" s="23" t="s">
        <v>1554</v>
      </c>
      <c r="D51" s="24">
        <v>400.0</v>
      </c>
      <c r="E51" s="23" t="s">
        <v>1545</v>
      </c>
      <c r="F51" s="24">
        <v>13.0</v>
      </c>
      <c r="G51" s="23" t="s">
        <v>69</v>
      </c>
      <c r="H51" s="23" t="s">
        <v>1455</v>
      </c>
      <c r="I51" s="24">
        <v>10.0</v>
      </c>
      <c r="J51" s="47" t="str">
        <f t="shared" si="1"/>
        <v>Bajo (1-4)</v>
      </c>
    </row>
    <row r="52">
      <c r="A52" s="23" t="s">
        <v>1555</v>
      </c>
      <c r="B52" s="24">
        <v>6.0</v>
      </c>
      <c r="C52" s="23" t="s">
        <v>1556</v>
      </c>
      <c r="D52" s="24">
        <v>100.0</v>
      </c>
      <c r="E52" s="23" t="s">
        <v>1557</v>
      </c>
      <c r="F52" s="24">
        <v>13.0</v>
      </c>
      <c r="G52" s="23" t="s">
        <v>69</v>
      </c>
      <c r="H52" s="23" t="s">
        <v>1472</v>
      </c>
      <c r="I52" s="24">
        <v>20.0</v>
      </c>
      <c r="J52" s="47" t="str">
        <f t="shared" si="1"/>
        <v>Medio (5-7)</v>
      </c>
    </row>
    <row r="53">
      <c r="A53" s="23" t="s">
        <v>1558</v>
      </c>
      <c r="B53" s="24">
        <v>5.0</v>
      </c>
      <c r="C53" s="23" t="s">
        <v>1473</v>
      </c>
      <c r="D53" s="24">
        <v>200.0</v>
      </c>
      <c r="E53" s="23" t="s">
        <v>1557</v>
      </c>
      <c r="F53" s="24">
        <v>18.0</v>
      </c>
      <c r="G53" s="23" t="s">
        <v>69</v>
      </c>
      <c r="H53" s="23" t="s">
        <v>1472</v>
      </c>
      <c r="I53" s="24">
        <v>10.0</v>
      </c>
      <c r="J53" s="47" t="str">
        <f t="shared" si="1"/>
        <v>Medio (5-7)</v>
      </c>
    </row>
    <row r="54">
      <c r="A54" s="23" t="s">
        <v>1559</v>
      </c>
      <c r="B54" s="24">
        <v>4.0</v>
      </c>
      <c r="C54" s="23" t="s">
        <v>1560</v>
      </c>
      <c r="D54" s="24">
        <v>30.0</v>
      </c>
      <c r="E54" s="23" t="s">
        <v>1561</v>
      </c>
      <c r="F54" s="24">
        <v>13.0</v>
      </c>
      <c r="G54" s="23" t="s">
        <v>69</v>
      </c>
      <c r="H54" s="23" t="s">
        <v>148</v>
      </c>
      <c r="I54" s="24">
        <v>240.0</v>
      </c>
      <c r="J54" s="47" t="str">
        <f t="shared" si="1"/>
        <v>Bajo (1-4)</v>
      </c>
    </row>
    <row r="55">
      <c r="A55" s="23" t="s">
        <v>1562</v>
      </c>
      <c r="B55" s="24">
        <v>6.0</v>
      </c>
      <c r="C55" s="23" t="s">
        <v>1563</v>
      </c>
      <c r="D55" s="24">
        <v>50.0</v>
      </c>
      <c r="E55" s="23" t="s">
        <v>1561</v>
      </c>
      <c r="F55" s="24">
        <v>13.0</v>
      </c>
      <c r="G55" s="23" t="s">
        <v>69</v>
      </c>
      <c r="H55" s="23" t="s">
        <v>1472</v>
      </c>
      <c r="I55" s="24">
        <v>2.0</v>
      </c>
      <c r="J55" s="47" t="str">
        <f t="shared" si="1"/>
        <v>Medio (5-7)</v>
      </c>
    </row>
    <row r="56">
      <c r="A56" s="23" t="s">
        <v>1027</v>
      </c>
      <c r="B56" s="24">
        <v>1.0</v>
      </c>
      <c r="C56" s="23" t="s">
        <v>1564</v>
      </c>
      <c r="D56" s="24">
        <v>500.0</v>
      </c>
      <c r="E56" s="23" t="s">
        <v>1373</v>
      </c>
      <c r="F56" s="24">
        <v>13.0</v>
      </c>
      <c r="G56" s="23" t="s">
        <v>69</v>
      </c>
      <c r="H56" s="23" t="s">
        <v>1472</v>
      </c>
      <c r="I56" s="24">
        <v>15.0</v>
      </c>
      <c r="J56" s="47" t="str">
        <f t="shared" si="1"/>
        <v>Bajo (1-4)</v>
      </c>
    </row>
    <row r="57">
      <c r="A57" s="23" t="s">
        <v>1565</v>
      </c>
      <c r="B57" s="24">
        <v>1.0</v>
      </c>
      <c r="C57" s="23" t="s">
        <v>1566</v>
      </c>
      <c r="D57" s="24">
        <v>50.0</v>
      </c>
      <c r="E57" s="23" t="s">
        <v>1373</v>
      </c>
      <c r="F57" s="24">
        <v>5.0</v>
      </c>
      <c r="G57" s="23" t="s">
        <v>1567</v>
      </c>
      <c r="H57" s="23" t="s">
        <v>979</v>
      </c>
      <c r="I57" s="24">
        <v>20.0</v>
      </c>
      <c r="J57" s="47" t="str">
        <f t="shared" si="1"/>
        <v>Bajo (1-4)</v>
      </c>
    </row>
    <row r="58">
      <c r="A58" s="23" t="s">
        <v>1568</v>
      </c>
      <c r="B58" s="24">
        <v>3.0</v>
      </c>
      <c r="C58" s="23" t="s">
        <v>1569</v>
      </c>
      <c r="D58" s="24">
        <v>100.0</v>
      </c>
      <c r="E58" s="23" t="s">
        <v>1373</v>
      </c>
      <c r="F58" s="24">
        <v>5.0</v>
      </c>
      <c r="G58" s="23" t="s">
        <v>69</v>
      </c>
      <c r="H58" s="23" t="s">
        <v>1472</v>
      </c>
      <c r="I58" s="24">
        <v>30.0</v>
      </c>
      <c r="J58" s="47" t="str">
        <f t="shared" si="1"/>
        <v>Bajo (1-4)</v>
      </c>
    </row>
    <row r="59">
      <c r="A59" s="23" t="s">
        <v>600</v>
      </c>
      <c r="B59" s="24">
        <v>6.0</v>
      </c>
      <c r="C59" s="23" t="s">
        <v>1570</v>
      </c>
      <c r="D59" s="24">
        <v>180.0</v>
      </c>
      <c r="E59" s="23" t="s">
        <v>1571</v>
      </c>
      <c r="F59" s="24">
        <v>13.0</v>
      </c>
      <c r="G59" s="23" t="s">
        <v>69</v>
      </c>
      <c r="H59" s="23" t="s">
        <v>1472</v>
      </c>
      <c r="I59" s="24">
        <v>20.0</v>
      </c>
      <c r="J59" s="47" t="str">
        <f t="shared" si="1"/>
        <v>Medio (5-7)</v>
      </c>
    </row>
    <row r="60">
      <c r="A60" s="23" t="s">
        <v>591</v>
      </c>
      <c r="B60" s="24">
        <v>5.0</v>
      </c>
      <c r="C60" s="23" t="s">
        <v>1572</v>
      </c>
      <c r="D60" s="24">
        <v>15.0</v>
      </c>
      <c r="E60" s="23" t="s">
        <v>1573</v>
      </c>
      <c r="F60" s="24">
        <v>13.0</v>
      </c>
      <c r="G60" s="23" t="s">
        <v>69</v>
      </c>
      <c r="H60" s="23" t="s">
        <v>1464</v>
      </c>
      <c r="I60" s="24">
        <v>30.0</v>
      </c>
      <c r="J60" s="47" t="str">
        <f t="shared" si="1"/>
        <v>Medio (5-7)</v>
      </c>
    </row>
    <row r="61">
      <c r="A61" s="23" t="s">
        <v>580</v>
      </c>
      <c r="B61" s="24">
        <v>5.0</v>
      </c>
      <c r="C61" s="23" t="s">
        <v>1574</v>
      </c>
      <c r="D61" s="24">
        <v>5.0</v>
      </c>
      <c r="E61" s="23" t="s">
        <v>1573</v>
      </c>
      <c r="F61" s="24">
        <v>13.0</v>
      </c>
      <c r="G61" s="23" t="s">
        <v>69</v>
      </c>
      <c r="H61" s="23" t="s">
        <v>1575</v>
      </c>
      <c r="I61" s="24">
        <v>10.0</v>
      </c>
      <c r="J61" s="47" t="str">
        <f t="shared" si="1"/>
        <v>Medio (5-7)</v>
      </c>
    </row>
    <row r="62">
      <c r="A62" s="48" t="s">
        <v>1576</v>
      </c>
      <c r="B62" s="24">
        <v>7.0</v>
      </c>
      <c r="C62" s="23" t="s">
        <v>1577</v>
      </c>
      <c r="D62" s="24">
        <v>20.0</v>
      </c>
      <c r="E62" s="23" t="s">
        <v>1578</v>
      </c>
      <c r="F62" s="24">
        <v>13.0</v>
      </c>
      <c r="G62" s="23" t="s">
        <v>69</v>
      </c>
      <c r="H62" s="23" t="s">
        <v>1472</v>
      </c>
      <c r="I62" s="24">
        <v>45.0</v>
      </c>
      <c r="J62" s="47" t="str">
        <f t="shared" si="1"/>
        <v>Medio (5-7)</v>
      </c>
    </row>
    <row r="63">
      <c r="A63" s="23" t="s">
        <v>1579</v>
      </c>
      <c r="B63" s="24">
        <v>8.0</v>
      </c>
      <c r="C63" s="23" t="s">
        <v>1580</v>
      </c>
      <c r="D63" s="24">
        <v>10.0</v>
      </c>
      <c r="E63" s="23" t="s">
        <v>1578</v>
      </c>
      <c r="F63" s="24">
        <v>18.0</v>
      </c>
      <c r="G63" s="23" t="s">
        <v>69</v>
      </c>
      <c r="H63" s="23" t="s">
        <v>1472</v>
      </c>
      <c r="I63" s="24">
        <v>40.0</v>
      </c>
      <c r="J63" s="47" t="str">
        <f t="shared" si="1"/>
        <v>Alto (8-10)</v>
      </c>
    </row>
    <row r="64">
      <c r="A64" s="23" t="s">
        <v>1267</v>
      </c>
      <c r="B64" s="24">
        <v>8.0</v>
      </c>
      <c r="C64" s="23" t="s">
        <v>1581</v>
      </c>
      <c r="D64" s="24">
        <v>120.0</v>
      </c>
      <c r="E64" s="23" t="s">
        <v>1582</v>
      </c>
      <c r="F64" s="24">
        <v>18.0</v>
      </c>
      <c r="G64" s="23" t="s">
        <v>1583</v>
      </c>
      <c r="H64" s="23" t="s">
        <v>1531</v>
      </c>
      <c r="I64" s="24">
        <v>15.0</v>
      </c>
      <c r="J64" s="47" t="str">
        <f t="shared" si="1"/>
        <v>Alto (8-10)</v>
      </c>
    </row>
    <row r="65">
      <c r="A65" s="23" t="s">
        <v>1584</v>
      </c>
      <c r="B65" s="24">
        <v>7.0</v>
      </c>
      <c r="C65" s="23" t="s">
        <v>1585</v>
      </c>
      <c r="D65" s="24">
        <v>100.0</v>
      </c>
      <c r="E65" s="23" t="s">
        <v>1582</v>
      </c>
      <c r="F65" s="24">
        <v>18.0</v>
      </c>
      <c r="G65" s="23" t="s">
        <v>69</v>
      </c>
      <c r="H65" s="23" t="s">
        <v>1531</v>
      </c>
      <c r="I65" s="24">
        <v>10.0</v>
      </c>
      <c r="J65" s="47" t="str">
        <f t="shared" si="1"/>
        <v>Medio (5-7)</v>
      </c>
    </row>
    <row r="66">
      <c r="A66" s="23" t="s">
        <v>1100</v>
      </c>
      <c r="B66" s="24">
        <v>9.0</v>
      </c>
      <c r="C66" s="23" t="s">
        <v>1586</v>
      </c>
      <c r="D66" s="24">
        <v>30.0</v>
      </c>
      <c r="E66" s="23" t="s">
        <v>1582</v>
      </c>
      <c r="F66" s="24">
        <v>18.0</v>
      </c>
      <c r="G66" s="23" t="s">
        <v>69</v>
      </c>
      <c r="H66" s="23" t="s">
        <v>1461</v>
      </c>
      <c r="I66" s="24">
        <v>5.0</v>
      </c>
      <c r="J66" s="47" t="str">
        <f t="shared" si="1"/>
        <v>Alto (8-10)</v>
      </c>
    </row>
    <row r="67">
      <c r="A67" s="23" t="s">
        <v>997</v>
      </c>
      <c r="B67" s="24">
        <v>4.0</v>
      </c>
      <c r="C67" s="23" t="s">
        <v>1587</v>
      </c>
      <c r="D67" s="24">
        <v>30.0</v>
      </c>
      <c r="E67" s="23" t="s">
        <v>996</v>
      </c>
      <c r="F67" s="24">
        <v>18.0</v>
      </c>
      <c r="G67" s="23" t="s">
        <v>1530</v>
      </c>
      <c r="H67" s="23" t="s">
        <v>1472</v>
      </c>
      <c r="I67" s="24">
        <v>5.0</v>
      </c>
      <c r="J67" s="47" t="str">
        <f t="shared" si="1"/>
        <v>Bajo (1-4)</v>
      </c>
    </row>
    <row r="68">
      <c r="A68" s="23" t="s">
        <v>783</v>
      </c>
      <c r="B68" s="24">
        <v>5.0</v>
      </c>
      <c r="C68" s="23" t="s">
        <v>1588</v>
      </c>
      <c r="D68" s="24">
        <v>400.0</v>
      </c>
      <c r="E68" s="23" t="s">
        <v>996</v>
      </c>
      <c r="F68" s="24">
        <v>18.0</v>
      </c>
      <c r="G68" s="23" t="s">
        <v>69</v>
      </c>
      <c r="H68" s="23" t="s">
        <v>1531</v>
      </c>
      <c r="I68" s="24">
        <v>2.0</v>
      </c>
      <c r="J68" s="47" t="str">
        <f t="shared" si="1"/>
        <v>Medio (5-7)</v>
      </c>
    </row>
    <row r="69">
      <c r="A69" s="23" t="s">
        <v>1589</v>
      </c>
      <c r="B69" s="24">
        <v>4.0</v>
      </c>
      <c r="C69" s="23" t="s">
        <v>1590</v>
      </c>
      <c r="D69" s="24">
        <v>20.0</v>
      </c>
      <c r="E69" s="23" t="s">
        <v>996</v>
      </c>
      <c r="F69" s="24">
        <v>18.0</v>
      </c>
      <c r="G69" s="23" t="s">
        <v>1549</v>
      </c>
      <c r="H69" s="23" t="s">
        <v>1461</v>
      </c>
      <c r="I69" s="24">
        <v>2.0</v>
      </c>
      <c r="J69" s="47" t="str">
        <f t="shared" si="1"/>
        <v>Bajo (1-4)</v>
      </c>
    </row>
    <row r="70">
      <c r="A70" s="23" t="s">
        <v>1591</v>
      </c>
      <c r="B70" s="24">
        <v>5.0</v>
      </c>
      <c r="C70" s="23" t="s">
        <v>1592</v>
      </c>
      <c r="D70" s="24">
        <v>80.0</v>
      </c>
      <c r="E70" s="23" t="s">
        <v>996</v>
      </c>
      <c r="F70" s="24">
        <v>18.0</v>
      </c>
      <c r="G70" s="23" t="s">
        <v>69</v>
      </c>
      <c r="H70" s="23" t="s">
        <v>1461</v>
      </c>
      <c r="I70" s="24">
        <v>2.0</v>
      </c>
      <c r="J70" s="47" t="str">
        <f t="shared" si="1"/>
        <v>Medio (5-7)</v>
      </c>
    </row>
    <row r="71">
      <c r="A71" s="23" t="s">
        <v>1593</v>
      </c>
      <c r="B71" s="24">
        <v>6.0</v>
      </c>
      <c r="C71" s="23" t="s">
        <v>1594</v>
      </c>
      <c r="D71" s="24">
        <v>50.0</v>
      </c>
      <c r="E71" s="23" t="s">
        <v>996</v>
      </c>
      <c r="F71" s="24">
        <v>18.0</v>
      </c>
      <c r="G71" s="23" t="s">
        <v>69</v>
      </c>
      <c r="H71" s="23" t="s">
        <v>1461</v>
      </c>
      <c r="I71" s="24">
        <v>2.0</v>
      </c>
      <c r="J71" s="47" t="str">
        <f t="shared" si="1"/>
        <v>Medio (5-7)</v>
      </c>
    </row>
    <row r="72">
      <c r="A72" s="23" t="s">
        <v>1118</v>
      </c>
      <c r="B72" s="24">
        <v>8.0</v>
      </c>
      <c r="C72" s="23" t="s">
        <v>1595</v>
      </c>
      <c r="D72" s="24">
        <v>3.0</v>
      </c>
      <c r="E72" s="23" t="s">
        <v>1117</v>
      </c>
      <c r="F72" s="24">
        <v>18.0</v>
      </c>
      <c r="G72" s="23" t="s">
        <v>69</v>
      </c>
      <c r="H72" s="23" t="s">
        <v>1596</v>
      </c>
      <c r="I72" s="24">
        <v>1.0</v>
      </c>
      <c r="J72" s="47" t="str">
        <f t="shared" si="1"/>
        <v>Alto (8-10)</v>
      </c>
    </row>
    <row r="73">
      <c r="A73" s="23" t="s">
        <v>1597</v>
      </c>
      <c r="B73" s="24">
        <v>7.0</v>
      </c>
      <c r="C73" s="23" t="s">
        <v>1598</v>
      </c>
      <c r="D73" s="24">
        <v>65.0</v>
      </c>
      <c r="E73" s="23" t="s">
        <v>1488</v>
      </c>
      <c r="F73" s="24">
        <v>13.0</v>
      </c>
      <c r="G73" s="23" t="s">
        <v>551</v>
      </c>
      <c r="H73" s="23" t="s">
        <v>1599</v>
      </c>
      <c r="I73" s="24">
        <v>90.0</v>
      </c>
      <c r="J73" s="47" t="str">
        <f t="shared" si="1"/>
        <v>Medio (5-7)</v>
      </c>
    </row>
    <row r="74">
      <c r="A74" s="23" t="s">
        <v>1600</v>
      </c>
      <c r="B74" s="24">
        <v>6.0</v>
      </c>
      <c r="C74" s="23" t="s">
        <v>1601</v>
      </c>
      <c r="D74" s="24">
        <v>180.0</v>
      </c>
      <c r="E74" s="23" t="s">
        <v>1488</v>
      </c>
      <c r="F74" s="24">
        <v>13.0</v>
      </c>
      <c r="G74" s="23" t="s">
        <v>69</v>
      </c>
      <c r="H74" s="23" t="s">
        <v>1489</v>
      </c>
      <c r="I74" s="24">
        <v>120.0</v>
      </c>
      <c r="J74" s="47" t="str">
        <f t="shared" si="1"/>
        <v>Medio (5-7)</v>
      </c>
    </row>
    <row r="75">
      <c r="A75" s="23" t="s">
        <v>1602</v>
      </c>
      <c r="B75" s="24">
        <v>6.0</v>
      </c>
      <c r="C75" s="23" t="s">
        <v>1603</v>
      </c>
      <c r="D75" s="24">
        <v>100.0</v>
      </c>
      <c r="E75" s="23" t="s">
        <v>1488</v>
      </c>
      <c r="F75" s="24">
        <v>17.0</v>
      </c>
      <c r="G75" s="23" t="s">
        <v>69</v>
      </c>
      <c r="H75" s="23" t="s">
        <v>1604</v>
      </c>
      <c r="I75" s="24">
        <v>60.0</v>
      </c>
      <c r="J75" s="47" t="str">
        <f t="shared" si="1"/>
        <v>Medio (5-7)</v>
      </c>
    </row>
    <row r="76">
      <c r="A76" s="23" t="s">
        <v>1605</v>
      </c>
      <c r="B76" s="24">
        <v>5.0</v>
      </c>
      <c r="C76" s="23" t="s">
        <v>1606</v>
      </c>
      <c r="D76" s="24">
        <v>250.0</v>
      </c>
      <c r="E76" s="23" t="s">
        <v>1488</v>
      </c>
      <c r="F76" s="24">
        <v>13.0</v>
      </c>
      <c r="G76" s="23" t="s">
        <v>1530</v>
      </c>
      <c r="H76" s="23" t="s">
        <v>1472</v>
      </c>
      <c r="I76" s="24">
        <v>30.0</v>
      </c>
      <c r="J76" s="47" t="str">
        <f t="shared" si="1"/>
        <v>Medio (5-7)</v>
      </c>
    </row>
    <row r="77">
      <c r="A77" s="23" t="s">
        <v>1607</v>
      </c>
      <c r="B77" s="24">
        <v>6.0</v>
      </c>
      <c r="C77" s="23" t="s">
        <v>1608</v>
      </c>
      <c r="D77" s="24">
        <v>100.0</v>
      </c>
      <c r="E77" s="23" t="s">
        <v>1488</v>
      </c>
      <c r="F77" s="24">
        <v>13.0</v>
      </c>
      <c r="G77" s="23" t="s">
        <v>355</v>
      </c>
      <c r="H77" s="23" t="s">
        <v>1472</v>
      </c>
      <c r="I77" s="24">
        <v>40.0</v>
      </c>
      <c r="J77" s="47" t="str">
        <f t="shared" si="1"/>
        <v>Medio (5-7)</v>
      </c>
    </row>
    <row r="78">
      <c r="A78" s="23" t="s">
        <v>1609</v>
      </c>
      <c r="B78" s="24">
        <v>4.0</v>
      </c>
      <c r="C78" s="23" t="s">
        <v>1610</v>
      </c>
      <c r="D78" s="24">
        <v>50.0</v>
      </c>
      <c r="E78" s="23" t="s">
        <v>1488</v>
      </c>
      <c r="F78" s="24">
        <v>10.0</v>
      </c>
      <c r="G78" s="23" t="s">
        <v>69</v>
      </c>
      <c r="H78" s="23" t="s">
        <v>1472</v>
      </c>
      <c r="I78" s="24">
        <v>30.0</v>
      </c>
      <c r="J78" s="47" t="str">
        <f t="shared" si="1"/>
        <v>Bajo (1-4)</v>
      </c>
    </row>
    <row r="79">
      <c r="A79" s="23" t="s">
        <v>1611</v>
      </c>
      <c r="B79" s="24">
        <v>5.0</v>
      </c>
      <c r="C79" s="23" t="s">
        <v>1612</v>
      </c>
      <c r="D79" s="24">
        <v>130.0</v>
      </c>
      <c r="E79" s="23" t="s">
        <v>1613</v>
      </c>
      <c r="F79" s="24">
        <v>13.0</v>
      </c>
      <c r="G79" s="23" t="s">
        <v>69</v>
      </c>
      <c r="H79" s="23" t="s">
        <v>1531</v>
      </c>
      <c r="I79" s="24">
        <v>40.0</v>
      </c>
      <c r="J79" s="47" t="str">
        <f t="shared" si="1"/>
        <v>Medio (5-7)</v>
      </c>
    </row>
    <row r="80">
      <c r="A80" s="23" t="s">
        <v>1614</v>
      </c>
      <c r="B80" s="24">
        <v>5.0</v>
      </c>
      <c r="C80" s="23" t="s">
        <v>1615</v>
      </c>
      <c r="D80" s="24">
        <v>110.0</v>
      </c>
      <c r="E80" s="23" t="s">
        <v>1613</v>
      </c>
      <c r="F80" s="24">
        <v>13.0</v>
      </c>
      <c r="G80" s="23" t="s">
        <v>285</v>
      </c>
      <c r="H80" s="23" t="s">
        <v>1464</v>
      </c>
      <c r="I80" s="24">
        <v>60.0</v>
      </c>
      <c r="J80" s="47" t="str">
        <f t="shared" si="1"/>
        <v>Medio (5-7)</v>
      </c>
    </row>
    <row r="81">
      <c r="A81" s="23" t="s">
        <v>1616</v>
      </c>
      <c r="B81" s="24">
        <v>5.0</v>
      </c>
      <c r="C81" s="23" t="s">
        <v>1615</v>
      </c>
      <c r="D81" s="24">
        <v>100.0</v>
      </c>
      <c r="E81" s="23" t="s">
        <v>1613</v>
      </c>
      <c r="F81" s="24">
        <v>13.0</v>
      </c>
      <c r="G81" s="23" t="s">
        <v>69</v>
      </c>
      <c r="H81" s="23" t="s">
        <v>1464</v>
      </c>
      <c r="I81" s="24">
        <v>60.0</v>
      </c>
      <c r="J81" s="47" t="str">
        <f t="shared" si="1"/>
        <v>Medio (5-7)</v>
      </c>
    </row>
    <row r="82">
      <c r="A82" s="23" t="s">
        <v>1617</v>
      </c>
      <c r="B82" s="24">
        <v>2.0</v>
      </c>
      <c r="C82" s="23" t="s">
        <v>1618</v>
      </c>
      <c r="D82" s="24">
        <v>36.0</v>
      </c>
      <c r="E82" s="23" t="s">
        <v>1613</v>
      </c>
      <c r="F82" s="24">
        <v>13.0</v>
      </c>
      <c r="G82" s="23" t="s">
        <v>285</v>
      </c>
      <c r="H82" s="23" t="s">
        <v>1464</v>
      </c>
      <c r="I82" s="24">
        <v>40.0</v>
      </c>
      <c r="J82" s="47" t="str">
        <f t="shared" si="1"/>
        <v>Bajo (1-4)</v>
      </c>
    </row>
    <row r="83">
      <c r="A83" s="23" t="s">
        <v>1619</v>
      </c>
      <c r="B83" s="24">
        <v>3.0</v>
      </c>
      <c r="C83" s="23" t="s">
        <v>914</v>
      </c>
      <c r="D83" s="24">
        <v>20.0</v>
      </c>
      <c r="E83" s="23" t="s">
        <v>1457</v>
      </c>
      <c r="F83" s="24">
        <v>13.0</v>
      </c>
      <c r="G83" s="23" t="s">
        <v>45</v>
      </c>
      <c r="H83" s="23" t="s">
        <v>1461</v>
      </c>
      <c r="I83" s="24">
        <v>5.0</v>
      </c>
      <c r="J83" s="47" t="str">
        <f t="shared" si="1"/>
        <v>Bajo (1-4)</v>
      </c>
    </row>
    <row r="84">
      <c r="A84" s="23" t="s">
        <v>1004</v>
      </c>
      <c r="B84" s="24">
        <v>4.0</v>
      </c>
      <c r="C84" s="23" t="s">
        <v>1620</v>
      </c>
      <c r="D84" s="24">
        <v>5.0</v>
      </c>
      <c r="E84" s="23" t="s">
        <v>1007</v>
      </c>
      <c r="F84" s="24">
        <v>18.0</v>
      </c>
      <c r="G84" s="23" t="s">
        <v>69</v>
      </c>
      <c r="H84" s="23" t="s">
        <v>1461</v>
      </c>
      <c r="I84" s="24">
        <v>10.0</v>
      </c>
      <c r="J84" s="47" t="str">
        <f t="shared" si="1"/>
        <v>Bajo (1-4)</v>
      </c>
    </row>
    <row r="85">
      <c r="A85" s="23" t="s">
        <v>1621</v>
      </c>
      <c r="B85" s="24">
        <v>6.0</v>
      </c>
      <c r="C85" s="23" t="s">
        <v>1622</v>
      </c>
      <c r="D85" s="24">
        <v>100.0</v>
      </c>
      <c r="E85" s="23" t="s">
        <v>471</v>
      </c>
      <c r="F85" s="24">
        <v>13.0</v>
      </c>
      <c r="G85" s="23" t="s">
        <v>69</v>
      </c>
      <c r="H85" s="23" t="s">
        <v>1459</v>
      </c>
      <c r="I85" s="24">
        <v>10.0</v>
      </c>
      <c r="J85" s="47" t="str">
        <f t="shared" si="1"/>
        <v>Medio (5-7)</v>
      </c>
    </row>
    <row r="86">
      <c r="A86" s="23" t="s">
        <v>1123</v>
      </c>
      <c r="B86" s="24">
        <v>2.0</v>
      </c>
      <c r="C86" s="23" t="s">
        <v>1623</v>
      </c>
      <c r="D86" s="24">
        <v>10.0</v>
      </c>
      <c r="E86" s="23" t="s">
        <v>855</v>
      </c>
      <c r="F86" s="24">
        <v>13.0</v>
      </c>
      <c r="G86" s="23" t="s">
        <v>41</v>
      </c>
      <c r="H86" s="23" t="s">
        <v>1514</v>
      </c>
      <c r="I86" s="24">
        <v>15.0</v>
      </c>
      <c r="J86" s="47" t="str">
        <f t="shared" si="1"/>
        <v>Bajo (1-4)</v>
      </c>
    </row>
    <row r="87">
      <c r="A87" s="23" t="s">
        <v>912</v>
      </c>
      <c r="B87" s="24">
        <v>6.0</v>
      </c>
      <c r="C87" s="23" t="s">
        <v>1624</v>
      </c>
      <c r="D87" s="24">
        <v>135.0</v>
      </c>
      <c r="E87" s="23" t="s">
        <v>471</v>
      </c>
      <c r="F87" s="24">
        <v>13.0</v>
      </c>
      <c r="G87" s="23" t="s">
        <v>69</v>
      </c>
      <c r="H87" s="23" t="s">
        <v>1455</v>
      </c>
      <c r="I87" s="24">
        <v>20.0</v>
      </c>
      <c r="J87" s="47" t="str">
        <f t="shared" si="1"/>
        <v>Medio (5-7)</v>
      </c>
    </row>
    <row r="88">
      <c r="A88" s="23" t="s">
        <v>899</v>
      </c>
      <c r="B88" s="24">
        <v>2.0</v>
      </c>
      <c r="C88" s="23" t="s">
        <v>1625</v>
      </c>
      <c r="D88" s="24">
        <v>60.0</v>
      </c>
      <c r="E88" s="23" t="s">
        <v>1457</v>
      </c>
      <c r="F88" s="24">
        <v>13.0</v>
      </c>
      <c r="G88" s="23" t="s">
        <v>69</v>
      </c>
      <c r="H88" s="23" t="s">
        <v>1464</v>
      </c>
      <c r="I88" s="24">
        <v>5.0</v>
      </c>
      <c r="J88" s="47" t="str">
        <f t="shared" si="1"/>
        <v>Bajo (1-4)</v>
      </c>
    </row>
    <row r="89">
      <c r="A89" s="23" t="s">
        <v>1626</v>
      </c>
      <c r="B89" s="24">
        <v>1.0</v>
      </c>
      <c r="C89" s="23" t="s">
        <v>1627</v>
      </c>
      <c r="D89" s="24">
        <v>260.0</v>
      </c>
      <c r="E89" s="23" t="s">
        <v>1454</v>
      </c>
      <c r="F89" s="24">
        <v>13.0</v>
      </c>
      <c r="G89" s="23" t="s">
        <v>69</v>
      </c>
      <c r="H89" s="23" t="s">
        <v>979</v>
      </c>
      <c r="I89" s="24">
        <v>10.0</v>
      </c>
      <c r="J89" s="47" t="str">
        <f t="shared" si="1"/>
        <v>Bajo (1-4)</v>
      </c>
    </row>
    <row r="90">
      <c r="A90" s="23" t="s">
        <v>1628</v>
      </c>
      <c r="B90" s="24">
        <v>5.0</v>
      </c>
      <c r="C90" s="23" t="s">
        <v>1629</v>
      </c>
      <c r="D90" s="24">
        <v>300.0</v>
      </c>
      <c r="E90" s="23" t="s">
        <v>1454</v>
      </c>
      <c r="F90" s="24">
        <v>13.0</v>
      </c>
      <c r="G90" s="23" t="s">
        <v>45</v>
      </c>
      <c r="H90" s="23" t="s">
        <v>1455</v>
      </c>
      <c r="I90" s="24">
        <v>10.0</v>
      </c>
      <c r="J90" s="47" t="str">
        <f t="shared" si="1"/>
        <v>Medio (5-7)</v>
      </c>
    </row>
    <row r="91">
      <c r="A91" s="23" t="s">
        <v>1630</v>
      </c>
      <c r="B91" s="24">
        <v>7.0</v>
      </c>
      <c r="C91" s="23" t="s">
        <v>1631</v>
      </c>
      <c r="D91" s="24">
        <v>30.0</v>
      </c>
      <c r="E91" s="23" t="s">
        <v>1454</v>
      </c>
      <c r="F91" s="24">
        <v>13.0</v>
      </c>
      <c r="G91" s="23" t="s">
        <v>383</v>
      </c>
      <c r="H91" s="23" t="s">
        <v>1455</v>
      </c>
      <c r="I91" s="24">
        <v>15.0</v>
      </c>
      <c r="J91" s="47" t="str">
        <f t="shared" si="1"/>
        <v>Medio (5-7)</v>
      </c>
    </row>
    <row r="92">
      <c r="A92" s="23" t="s">
        <v>1632</v>
      </c>
      <c r="B92" s="24">
        <v>7.0</v>
      </c>
      <c r="C92" s="23" t="s">
        <v>1633</v>
      </c>
      <c r="D92" s="24">
        <v>2.0</v>
      </c>
      <c r="E92" s="23" t="s">
        <v>855</v>
      </c>
      <c r="F92" s="24">
        <v>13.0</v>
      </c>
      <c r="G92" s="23" t="s">
        <v>69</v>
      </c>
      <c r="H92" s="23" t="s">
        <v>1455</v>
      </c>
      <c r="I92" s="24">
        <v>15.0</v>
      </c>
      <c r="J92" s="47" t="str">
        <f t="shared" si="1"/>
        <v>Medio (5-7)</v>
      </c>
    </row>
    <row r="93">
      <c r="A93" s="23" t="s">
        <v>1634</v>
      </c>
      <c r="B93" s="24">
        <v>7.0</v>
      </c>
      <c r="C93" s="23" t="s">
        <v>1635</v>
      </c>
      <c r="D93" s="24">
        <v>1.0</v>
      </c>
      <c r="E93" s="23" t="s">
        <v>855</v>
      </c>
      <c r="F93" s="24">
        <v>13.0</v>
      </c>
      <c r="G93" s="23" t="s">
        <v>69</v>
      </c>
      <c r="H93" s="23" t="s">
        <v>1455</v>
      </c>
      <c r="I93" s="24">
        <v>10.0</v>
      </c>
      <c r="J93" s="47" t="str">
        <f t="shared" si="1"/>
        <v>Medio (5-7)</v>
      </c>
    </row>
    <row r="94">
      <c r="A94" s="23" t="s">
        <v>1636</v>
      </c>
      <c r="B94" s="24">
        <v>5.0</v>
      </c>
      <c r="C94" s="23" t="s">
        <v>1637</v>
      </c>
      <c r="D94" s="24">
        <v>300.0</v>
      </c>
      <c r="E94" s="23" t="s">
        <v>1454</v>
      </c>
      <c r="F94" s="24">
        <v>13.0</v>
      </c>
      <c r="G94" s="23" t="s">
        <v>551</v>
      </c>
      <c r="H94" s="23" t="s">
        <v>1469</v>
      </c>
      <c r="I94" s="24">
        <v>60.0</v>
      </c>
      <c r="J94" s="47" t="str">
        <f t="shared" si="1"/>
        <v>Medio (5-7)</v>
      </c>
    </row>
    <row r="95">
      <c r="A95" s="23" t="s">
        <v>1638</v>
      </c>
      <c r="B95" s="24">
        <v>8.0</v>
      </c>
      <c r="C95" s="23" t="s">
        <v>1639</v>
      </c>
      <c r="D95" s="24">
        <v>600.0</v>
      </c>
      <c r="E95" s="23" t="s">
        <v>1454</v>
      </c>
      <c r="F95" s="24">
        <v>13.0</v>
      </c>
      <c r="G95" s="23" t="s">
        <v>551</v>
      </c>
      <c r="H95" s="23" t="s">
        <v>1455</v>
      </c>
      <c r="I95" s="24">
        <v>80.0</v>
      </c>
      <c r="J95" s="47" t="str">
        <f t="shared" si="1"/>
        <v>Alto (8-10)</v>
      </c>
    </row>
    <row r="96">
      <c r="A96" s="23" t="s">
        <v>1640</v>
      </c>
      <c r="B96" s="24">
        <v>7.0</v>
      </c>
      <c r="C96" s="23" t="s">
        <v>1641</v>
      </c>
      <c r="D96" s="24">
        <v>500.0</v>
      </c>
      <c r="E96" s="23" t="s">
        <v>679</v>
      </c>
      <c r="F96" s="24">
        <v>13.0</v>
      </c>
      <c r="G96" s="23" t="s">
        <v>551</v>
      </c>
      <c r="H96" s="23" t="s">
        <v>1472</v>
      </c>
      <c r="I96" s="24">
        <v>40.0</v>
      </c>
      <c r="J96" s="47" t="str">
        <f t="shared" si="1"/>
        <v>Medio (5-7)</v>
      </c>
    </row>
    <row r="97">
      <c r="A97" s="23" t="s">
        <v>1642</v>
      </c>
      <c r="B97" s="24">
        <v>4.0</v>
      </c>
      <c r="C97" s="23" t="s">
        <v>1643</v>
      </c>
      <c r="D97" s="24">
        <v>1000.0</v>
      </c>
      <c r="E97" s="23" t="s">
        <v>679</v>
      </c>
      <c r="F97" s="24">
        <v>13.0</v>
      </c>
      <c r="G97" s="23" t="s">
        <v>285</v>
      </c>
      <c r="H97" s="23" t="s">
        <v>1455</v>
      </c>
      <c r="I97" s="24">
        <v>20.0</v>
      </c>
      <c r="J97" s="47" t="str">
        <f t="shared" si="1"/>
        <v>Bajo (1-4)</v>
      </c>
    </row>
    <row r="98">
      <c r="A98" s="23" t="s">
        <v>1644</v>
      </c>
      <c r="B98" s="24">
        <v>5.0</v>
      </c>
      <c r="C98" s="23" t="s">
        <v>1645</v>
      </c>
      <c r="D98" s="24">
        <v>200.0</v>
      </c>
      <c r="E98" s="23" t="s">
        <v>679</v>
      </c>
      <c r="F98" s="24">
        <v>13.0</v>
      </c>
      <c r="G98" s="23" t="s">
        <v>69</v>
      </c>
      <c r="H98" s="23" t="s">
        <v>1455</v>
      </c>
      <c r="I98" s="24">
        <v>15.0</v>
      </c>
      <c r="J98" s="47" t="str">
        <f t="shared" si="1"/>
        <v>Medio (5-7)</v>
      </c>
    </row>
    <row r="99">
      <c r="A99" s="23" t="s">
        <v>443</v>
      </c>
      <c r="B99" s="24">
        <v>3.0</v>
      </c>
      <c r="C99" s="23" t="s">
        <v>1646</v>
      </c>
      <c r="D99" s="24">
        <v>300.0</v>
      </c>
      <c r="E99" s="23" t="s">
        <v>679</v>
      </c>
      <c r="F99" s="24">
        <v>13.0</v>
      </c>
      <c r="G99" s="23" t="s">
        <v>69</v>
      </c>
      <c r="H99" s="23" t="s">
        <v>1472</v>
      </c>
      <c r="I99" s="24">
        <v>10.0</v>
      </c>
      <c r="J99" s="47" t="str">
        <f t="shared" si="1"/>
        <v>Bajo (1-4)</v>
      </c>
    </row>
    <row r="100">
      <c r="A100" s="23" t="s">
        <v>1647</v>
      </c>
      <c r="B100" s="24">
        <v>2.0</v>
      </c>
      <c r="C100" s="23" t="s">
        <v>1648</v>
      </c>
      <c r="D100" s="24">
        <v>200.0</v>
      </c>
      <c r="E100" s="23" t="s">
        <v>1495</v>
      </c>
      <c r="F100" s="24">
        <v>13.0</v>
      </c>
      <c r="G100" s="23" t="s">
        <v>69</v>
      </c>
      <c r="H100" s="23" t="s">
        <v>1461</v>
      </c>
      <c r="I100" s="24">
        <v>30.0</v>
      </c>
      <c r="J100" s="47" t="str">
        <f t="shared" si="1"/>
        <v>Bajo (1-4)</v>
      </c>
    </row>
    <row r="101">
      <c r="A101" s="23" t="s">
        <v>1649</v>
      </c>
      <c r="B101" s="24">
        <v>2.0</v>
      </c>
      <c r="C101" s="23" t="s">
        <v>1650</v>
      </c>
      <c r="D101" s="24">
        <v>100.0</v>
      </c>
      <c r="E101" s="23" t="s">
        <v>1495</v>
      </c>
      <c r="F101" s="24">
        <v>16.0</v>
      </c>
      <c r="G101" s="23" t="s">
        <v>69</v>
      </c>
      <c r="H101" s="23" t="s">
        <v>979</v>
      </c>
      <c r="I101" s="24">
        <v>40.0</v>
      </c>
      <c r="J101" s="47" t="str">
        <f t="shared" si="1"/>
        <v>Bajo (1-4)</v>
      </c>
    </row>
    <row r="102">
      <c r="A102" s="23" t="s">
        <v>977</v>
      </c>
      <c r="B102" s="24">
        <v>2.0</v>
      </c>
      <c r="C102" s="23" t="s">
        <v>1651</v>
      </c>
      <c r="D102" s="24">
        <v>50.0</v>
      </c>
      <c r="E102" s="23" t="s">
        <v>1495</v>
      </c>
      <c r="F102" s="24">
        <v>13.0</v>
      </c>
      <c r="G102" s="23" t="s">
        <v>69</v>
      </c>
      <c r="H102" s="23" t="s">
        <v>1472</v>
      </c>
      <c r="I102" s="24">
        <v>15.0</v>
      </c>
      <c r="J102" s="47" t="str">
        <f t="shared" si="1"/>
        <v>Bajo (1-4)</v>
      </c>
    </row>
    <row r="103">
      <c r="A103" s="23" t="s">
        <v>1313</v>
      </c>
      <c r="B103" s="24">
        <v>2.0</v>
      </c>
      <c r="C103" s="23" t="s">
        <v>1652</v>
      </c>
      <c r="D103" s="24">
        <v>30.0</v>
      </c>
      <c r="E103" s="23" t="s">
        <v>1495</v>
      </c>
      <c r="F103" s="24">
        <v>13.0</v>
      </c>
      <c r="G103" s="23" t="s">
        <v>69</v>
      </c>
      <c r="H103" s="23" t="s">
        <v>1472</v>
      </c>
      <c r="I103" s="24">
        <v>20.0</v>
      </c>
      <c r="J103" s="47" t="str">
        <f t="shared" si="1"/>
        <v>Bajo (1-4)</v>
      </c>
    </row>
    <row r="104">
      <c r="A104" s="23" t="s">
        <v>990</v>
      </c>
      <c r="B104" s="24">
        <v>2.0</v>
      </c>
      <c r="C104" s="23" t="s">
        <v>1653</v>
      </c>
      <c r="D104" s="24">
        <v>130.0</v>
      </c>
      <c r="E104" s="23" t="s">
        <v>1383</v>
      </c>
      <c r="F104" s="24">
        <v>13.0</v>
      </c>
      <c r="G104" s="23" t="s">
        <v>1654</v>
      </c>
      <c r="H104" s="23" t="s">
        <v>1472</v>
      </c>
      <c r="I104" s="24">
        <v>25.0</v>
      </c>
      <c r="J104" s="47" t="str">
        <f t="shared" si="1"/>
        <v>Bajo (1-4)</v>
      </c>
    </row>
    <row r="105">
      <c r="A105" s="23" t="s">
        <v>1655</v>
      </c>
      <c r="B105" s="24">
        <v>2.0</v>
      </c>
      <c r="C105" s="23" t="s">
        <v>1656</v>
      </c>
      <c r="D105" s="24">
        <v>30.0</v>
      </c>
      <c r="E105" s="23" t="s">
        <v>1383</v>
      </c>
      <c r="F105" s="24">
        <v>13.0</v>
      </c>
      <c r="G105" s="23" t="s">
        <v>69</v>
      </c>
      <c r="H105" s="23" t="s">
        <v>1464</v>
      </c>
      <c r="I105" s="24">
        <v>40.0</v>
      </c>
      <c r="J105" s="47" t="str">
        <f t="shared" si="1"/>
        <v>Bajo (1-4)</v>
      </c>
    </row>
    <row r="106">
      <c r="A106" s="23" t="s">
        <v>1206</v>
      </c>
      <c r="B106" s="24">
        <v>2.0</v>
      </c>
      <c r="C106" s="23" t="s">
        <v>1657</v>
      </c>
      <c r="D106" s="24">
        <v>4.0</v>
      </c>
      <c r="E106" s="23" t="s">
        <v>1383</v>
      </c>
      <c r="F106" s="24">
        <v>13.0</v>
      </c>
      <c r="G106" s="23" t="s">
        <v>69</v>
      </c>
      <c r="H106" s="23" t="s">
        <v>1472</v>
      </c>
      <c r="I106" s="24">
        <v>60.0</v>
      </c>
      <c r="J106" s="47" t="str">
        <f t="shared" si="1"/>
        <v>Bajo (1-4)</v>
      </c>
    </row>
    <row r="107">
      <c r="A107" s="23" t="s">
        <v>583</v>
      </c>
      <c r="B107" s="24">
        <v>3.0</v>
      </c>
      <c r="C107" s="23" t="s">
        <v>1658</v>
      </c>
      <c r="D107" s="24">
        <v>100.0</v>
      </c>
      <c r="E107" s="23" t="s">
        <v>1659</v>
      </c>
      <c r="F107" s="24">
        <v>13.0</v>
      </c>
      <c r="G107" s="23" t="s">
        <v>69</v>
      </c>
      <c r="H107" s="23" t="s">
        <v>1472</v>
      </c>
      <c r="I107" s="24">
        <v>30.0</v>
      </c>
      <c r="J107" s="47" t="str">
        <f t="shared" si="1"/>
        <v>Bajo (1-4)</v>
      </c>
    </row>
    <row r="108">
      <c r="A108" s="23" t="s">
        <v>1660</v>
      </c>
      <c r="B108" s="24">
        <v>3.0</v>
      </c>
      <c r="C108" s="23" t="s">
        <v>1661</v>
      </c>
      <c r="D108" s="24">
        <v>30.0</v>
      </c>
      <c r="E108" s="23" t="s">
        <v>1659</v>
      </c>
      <c r="F108" s="24">
        <v>13.0</v>
      </c>
      <c r="G108" s="23" t="s">
        <v>69</v>
      </c>
      <c r="H108" s="23" t="s">
        <v>979</v>
      </c>
      <c r="I108" s="24">
        <v>30.0</v>
      </c>
      <c r="J108" s="47" t="str">
        <f t="shared" si="1"/>
        <v>Bajo (1-4)</v>
      </c>
    </row>
    <row r="109">
      <c r="A109" s="23" t="s">
        <v>919</v>
      </c>
      <c r="B109" s="24">
        <v>2.0</v>
      </c>
      <c r="C109" s="23" t="s">
        <v>1662</v>
      </c>
      <c r="D109" s="24">
        <v>20.0</v>
      </c>
      <c r="E109" s="23" t="s">
        <v>1659</v>
      </c>
      <c r="F109" s="24">
        <v>13.0</v>
      </c>
      <c r="G109" s="23" t="s">
        <v>69</v>
      </c>
      <c r="H109" s="23" t="s">
        <v>1455</v>
      </c>
      <c r="I109" s="24">
        <v>10.0</v>
      </c>
      <c r="J109" s="47" t="str">
        <f t="shared" si="1"/>
        <v>Bajo (1-4)</v>
      </c>
    </row>
    <row r="110">
      <c r="A110" s="23" t="s">
        <v>1022</v>
      </c>
      <c r="B110" s="24">
        <v>1.0</v>
      </c>
      <c r="C110" s="23" t="s">
        <v>1663</v>
      </c>
      <c r="D110" s="24">
        <v>100.0</v>
      </c>
      <c r="E110" s="23" t="s">
        <v>1373</v>
      </c>
      <c r="F110" s="24">
        <v>13.0</v>
      </c>
      <c r="G110" s="23" t="s">
        <v>69</v>
      </c>
      <c r="H110" s="23" t="s">
        <v>1664</v>
      </c>
      <c r="I110" s="24">
        <v>30.0</v>
      </c>
      <c r="J110" s="47" t="str">
        <f t="shared" si="1"/>
        <v>Bajo (1-4)</v>
      </c>
    </row>
    <row r="111">
      <c r="A111" s="23" t="s">
        <v>1665</v>
      </c>
      <c r="B111" s="24">
        <v>2.0</v>
      </c>
      <c r="C111" s="23" t="s">
        <v>1666</v>
      </c>
      <c r="D111" s="24">
        <v>50.0</v>
      </c>
      <c r="E111" s="23" t="s">
        <v>1373</v>
      </c>
      <c r="F111" s="24">
        <v>13.0</v>
      </c>
      <c r="G111" s="23" t="s">
        <v>69</v>
      </c>
      <c r="H111" s="23" t="s">
        <v>1664</v>
      </c>
      <c r="I111" s="24">
        <v>20.0</v>
      </c>
      <c r="J111" s="47" t="str">
        <f t="shared" si="1"/>
        <v>Bajo (1-4)</v>
      </c>
    </row>
    <row r="112">
      <c r="A112" s="23" t="s">
        <v>1667</v>
      </c>
      <c r="B112" s="24">
        <v>1.0</v>
      </c>
      <c r="C112" s="23" t="s">
        <v>1668</v>
      </c>
      <c r="D112" s="24">
        <v>40.0</v>
      </c>
      <c r="E112" s="23" t="s">
        <v>1373</v>
      </c>
      <c r="F112" s="24">
        <v>13.0</v>
      </c>
      <c r="G112" s="23" t="s">
        <v>69</v>
      </c>
      <c r="H112" s="23" t="s">
        <v>1669</v>
      </c>
      <c r="I112" s="24">
        <v>30.0</v>
      </c>
      <c r="J112" s="47" t="str">
        <f t="shared" si="1"/>
        <v>Bajo (1-4)</v>
      </c>
    </row>
    <row r="113">
      <c r="A113" s="23" t="s">
        <v>1670</v>
      </c>
      <c r="B113" s="24">
        <v>3.0</v>
      </c>
      <c r="C113" s="23" t="s">
        <v>1671</v>
      </c>
      <c r="D113" s="24">
        <v>350.0</v>
      </c>
      <c r="E113" s="23" t="s">
        <v>1373</v>
      </c>
      <c r="F113" s="24">
        <v>13.0</v>
      </c>
      <c r="G113" s="23" t="s">
        <v>1672</v>
      </c>
      <c r="H113" s="23" t="s">
        <v>1472</v>
      </c>
      <c r="I113" s="24">
        <v>15.0</v>
      </c>
      <c r="J113" s="47" t="str">
        <f t="shared" si="1"/>
        <v>Bajo (1-4)</v>
      </c>
    </row>
    <row r="114">
      <c r="A114" s="23" t="s">
        <v>1673</v>
      </c>
      <c r="B114" s="24">
        <v>4.0</v>
      </c>
      <c r="C114" s="23" t="s">
        <v>1674</v>
      </c>
      <c r="D114" s="24">
        <v>8.0</v>
      </c>
      <c r="E114" s="23" t="s">
        <v>1373</v>
      </c>
      <c r="F114" s="24">
        <v>13.0</v>
      </c>
      <c r="G114" s="23" t="s">
        <v>69</v>
      </c>
      <c r="H114" s="23" t="s">
        <v>1464</v>
      </c>
      <c r="I114" s="24">
        <v>10.0</v>
      </c>
      <c r="J114" s="47" t="str">
        <f t="shared" si="1"/>
        <v>Bajo (1-4)</v>
      </c>
    </row>
    <row r="115">
      <c r="A115" s="23" t="s">
        <v>1675</v>
      </c>
      <c r="B115" s="24">
        <v>6.0</v>
      </c>
      <c r="C115" s="23" t="s">
        <v>1676</v>
      </c>
      <c r="D115" s="24">
        <v>90.0</v>
      </c>
      <c r="E115" s="23" t="s">
        <v>1677</v>
      </c>
      <c r="F115" s="24">
        <v>13.0</v>
      </c>
      <c r="G115" s="23" t="s">
        <v>383</v>
      </c>
      <c r="H115" s="23" t="s">
        <v>1455</v>
      </c>
      <c r="I115" s="24">
        <v>30.0</v>
      </c>
      <c r="J115" s="47" t="str">
        <f t="shared" si="1"/>
        <v>Medio (5-7)</v>
      </c>
    </row>
    <row r="116">
      <c r="A116" s="23" t="s">
        <v>1678</v>
      </c>
      <c r="B116" s="24">
        <v>2.0</v>
      </c>
      <c r="C116" s="23" t="s">
        <v>1679</v>
      </c>
      <c r="D116" s="24">
        <v>90.0</v>
      </c>
      <c r="E116" s="23" t="s">
        <v>1677</v>
      </c>
      <c r="F116" s="24">
        <v>13.0</v>
      </c>
      <c r="G116" s="23" t="s">
        <v>69</v>
      </c>
      <c r="H116" s="23" t="s">
        <v>1459</v>
      </c>
      <c r="I116" s="24">
        <v>10.0</v>
      </c>
      <c r="J116" s="47" t="str">
        <f t="shared" si="1"/>
        <v>Bajo (1-4)</v>
      </c>
    </row>
    <row r="117">
      <c r="A117" s="23" t="s">
        <v>474</v>
      </c>
      <c r="B117" s="24">
        <v>1.0</v>
      </c>
      <c r="C117" s="23" t="s">
        <v>1680</v>
      </c>
      <c r="D117" s="24">
        <v>100.0</v>
      </c>
      <c r="E117" s="23" t="s">
        <v>1677</v>
      </c>
      <c r="F117" s="24">
        <v>13.0</v>
      </c>
      <c r="G117" s="23" t="s">
        <v>69</v>
      </c>
      <c r="H117" s="23" t="s">
        <v>1537</v>
      </c>
      <c r="I117" s="24">
        <v>40.0</v>
      </c>
      <c r="J117" s="47" t="str">
        <f t="shared" si="1"/>
        <v>Bajo (1-4)</v>
      </c>
    </row>
    <row r="118">
      <c r="A118" s="23" t="s">
        <v>1681</v>
      </c>
      <c r="B118" s="24">
        <v>1.0</v>
      </c>
      <c r="C118" s="23" t="s">
        <v>1682</v>
      </c>
      <c r="D118" s="24">
        <v>50.0</v>
      </c>
      <c r="E118" s="23" t="s">
        <v>1007</v>
      </c>
      <c r="F118" s="24">
        <v>13.0</v>
      </c>
      <c r="G118" s="23" t="s">
        <v>69</v>
      </c>
      <c r="H118" s="23" t="s">
        <v>1464</v>
      </c>
      <c r="I118" s="24">
        <v>30.0</v>
      </c>
      <c r="J118" s="47" t="str">
        <f t="shared" si="1"/>
        <v>Bajo (1-4)</v>
      </c>
    </row>
    <row r="119">
      <c r="A119" s="23" t="s">
        <v>1683</v>
      </c>
      <c r="B119" s="24">
        <v>3.0</v>
      </c>
      <c r="C119" s="23" t="s">
        <v>1684</v>
      </c>
      <c r="D119" s="24">
        <v>175.0</v>
      </c>
      <c r="E119" s="23" t="s">
        <v>1481</v>
      </c>
      <c r="F119" s="24">
        <v>13.0</v>
      </c>
      <c r="G119" s="23" t="s">
        <v>41</v>
      </c>
      <c r="H119" s="23" t="s">
        <v>1472</v>
      </c>
      <c r="I119" s="24">
        <v>15.0</v>
      </c>
      <c r="J119" s="47" t="str">
        <f t="shared" si="1"/>
        <v>Bajo (1-4)</v>
      </c>
    </row>
    <row r="120">
      <c r="A120" s="23" t="s">
        <v>1685</v>
      </c>
      <c r="B120" s="24">
        <v>2.0</v>
      </c>
      <c r="C120" s="23" t="s">
        <v>1668</v>
      </c>
      <c r="D120" s="24">
        <v>16.0</v>
      </c>
      <c r="E120" s="23" t="s">
        <v>1481</v>
      </c>
      <c r="F120" s="24">
        <v>13.0</v>
      </c>
      <c r="G120" s="23" t="s">
        <v>45</v>
      </c>
      <c r="H120" s="23" t="s">
        <v>1472</v>
      </c>
      <c r="I120" s="24">
        <v>15.0</v>
      </c>
      <c r="J120" s="47" t="str">
        <f t="shared" si="1"/>
        <v>Bajo (1-4)</v>
      </c>
    </row>
    <row r="121">
      <c r="A121" s="23" t="s">
        <v>1686</v>
      </c>
      <c r="B121" s="24">
        <v>2.0</v>
      </c>
      <c r="C121" s="23" t="s">
        <v>1668</v>
      </c>
      <c r="D121" s="24">
        <v>80.0</v>
      </c>
      <c r="E121" s="23" t="s">
        <v>1481</v>
      </c>
      <c r="F121" s="24">
        <v>13.0</v>
      </c>
      <c r="G121" s="23" t="s">
        <v>69</v>
      </c>
      <c r="H121" s="23" t="s">
        <v>1464</v>
      </c>
      <c r="I121" s="24">
        <v>20.0</v>
      </c>
      <c r="J121" s="47" t="str">
        <f t="shared" si="1"/>
        <v>Bajo (1-4)</v>
      </c>
    </row>
    <row r="122">
      <c r="A122" s="23" t="s">
        <v>1687</v>
      </c>
      <c r="B122" s="24">
        <v>2.0</v>
      </c>
      <c r="C122" s="23" t="s">
        <v>1688</v>
      </c>
      <c r="D122" s="24">
        <v>5.0</v>
      </c>
      <c r="E122" s="23" t="s">
        <v>1481</v>
      </c>
      <c r="F122" s="24">
        <v>13.0</v>
      </c>
      <c r="G122" s="23" t="s">
        <v>1567</v>
      </c>
      <c r="H122" s="23" t="s">
        <v>1464</v>
      </c>
      <c r="I122" s="24">
        <v>15.0</v>
      </c>
      <c r="J122" s="47" t="str">
        <f t="shared" si="1"/>
        <v>Bajo (1-4)</v>
      </c>
    </row>
    <row r="123">
      <c r="A123" s="23" t="s">
        <v>1037</v>
      </c>
      <c r="B123" s="24">
        <v>1.0</v>
      </c>
      <c r="C123" s="23" t="s">
        <v>1668</v>
      </c>
      <c r="D123" s="24">
        <v>200.0</v>
      </c>
      <c r="E123" s="23" t="s">
        <v>1481</v>
      </c>
      <c r="F123" s="24">
        <v>13.0</v>
      </c>
      <c r="G123" s="23" t="s">
        <v>69</v>
      </c>
      <c r="H123" s="23" t="s">
        <v>1461</v>
      </c>
      <c r="I123" s="24">
        <v>1.0</v>
      </c>
      <c r="J123" s="47" t="str">
        <f t="shared" si="1"/>
        <v>Bajo (1-4)</v>
      </c>
    </row>
    <row r="124">
      <c r="A124" s="23" t="s">
        <v>1689</v>
      </c>
      <c r="B124" s="24">
        <v>2.0</v>
      </c>
      <c r="C124" s="23" t="s">
        <v>1668</v>
      </c>
      <c r="D124" s="24">
        <v>150.0</v>
      </c>
      <c r="E124" s="23" t="s">
        <v>880</v>
      </c>
      <c r="F124" s="24">
        <v>13.0</v>
      </c>
      <c r="G124" s="23" t="s">
        <v>69</v>
      </c>
      <c r="H124" s="23" t="s">
        <v>1464</v>
      </c>
      <c r="I124" s="24">
        <v>40.0</v>
      </c>
      <c r="J124" s="47" t="str">
        <f t="shared" si="1"/>
        <v>Bajo (1-4)</v>
      </c>
    </row>
    <row r="125">
      <c r="A125" s="23" t="s">
        <v>1690</v>
      </c>
      <c r="B125" s="24">
        <v>3.0</v>
      </c>
      <c r="C125" s="23" t="s">
        <v>1691</v>
      </c>
      <c r="D125" s="24">
        <v>90.0</v>
      </c>
      <c r="E125" s="23" t="s">
        <v>880</v>
      </c>
      <c r="F125" s="24">
        <v>18.0</v>
      </c>
      <c r="G125" s="23" t="s">
        <v>69</v>
      </c>
      <c r="H125" s="23" t="s">
        <v>1464</v>
      </c>
      <c r="I125" s="24">
        <v>50.0</v>
      </c>
      <c r="J125" s="47" t="str">
        <f t="shared" si="1"/>
        <v>Bajo (1-4)</v>
      </c>
    </row>
    <row r="126">
      <c r="A126" s="23" t="s">
        <v>1692</v>
      </c>
      <c r="B126" s="24">
        <v>2.0</v>
      </c>
      <c r="C126" s="23" t="s">
        <v>1668</v>
      </c>
      <c r="D126" s="24">
        <v>200.0</v>
      </c>
      <c r="E126" s="23" t="s">
        <v>880</v>
      </c>
      <c r="F126" s="24">
        <v>13.0</v>
      </c>
      <c r="G126" s="23" t="s">
        <v>69</v>
      </c>
      <c r="H126" s="23" t="s">
        <v>1464</v>
      </c>
      <c r="I126" s="24">
        <v>40.0</v>
      </c>
      <c r="J126" s="47" t="str">
        <f t="shared" si="1"/>
        <v>Bajo (1-4)</v>
      </c>
    </row>
    <row r="127">
      <c r="A127" s="23" t="s">
        <v>1693</v>
      </c>
      <c r="B127" s="24">
        <v>3.0</v>
      </c>
      <c r="C127" s="23" t="s">
        <v>1694</v>
      </c>
      <c r="D127" s="24">
        <v>48.0</v>
      </c>
      <c r="E127" s="23" t="s">
        <v>880</v>
      </c>
      <c r="F127" s="24">
        <v>13.0</v>
      </c>
      <c r="G127" s="23" t="s">
        <v>69</v>
      </c>
      <c r="H127" s="23" t="s">
        <v>1464</v>
      </c>
      <c r="I127" s="24">
        <v>40.0</v>
      </c>
      <c r="J127" s="47" t="str">
        <f t="shared" si="1"/>
        <v>Bajo (1-4)</v>
      </c>
    </row>
    <row r="128">
      <c r="A128" s="23" t="s">
        <v>1695</v>
      </c>
      <c r="B128" s="24">
        <v>3.0</v>
      </c>
      <c r="C128" s="23" t="s">
        <v>1668</v>
      </c>
      <c r="D128" s="24">
        <v>30.0</v>
      </c>
      <c r="E128" s="23" t="s">
        <v>880</v>
      </c>
      <c r="F128" s="24">
        <v>13.0</v>
      </c>
      <c r="G128" s="23" t="s">
        <v>69</v>
      </c>
      <c r="H128" s="23" t="s">
        <v>1464</v>
      </c>
      <c r="I128" s="24">
        <v>30.0</v>
      </c>
      <c r="J128" s="47" t="str">
        <f t="shared" si="1"/>
        <v>Bajo (1-4)</v>
      </c>
    </row>
    <row r="129">
      <c r="A129" s="23" t="s">
        <v>1696</v>
      </c>
      <c r="B129" s="24">
        <v>2.0</v>
      </c>
      <c r="C129" s="23" t="s">
        <v>1668</v>
      </c>
      <c r="D129" s="24">
        <v>60.0</v>
      </c>
      <c r="E129" s="23" t="s">
        <v>880</v>
      </c>
      <c r="F129" s="24">
        <v>13.0</v>
      </c>
      <c r="G129" s="23" t="s">
        <v>69</v>
      </c>
      <c r="H129" s="23" t="s">
        <v>1464</v>
      </c>
      <c r="I129" s="24">
        <v>30.0</v>
      </c>
      <c r="J129" s="47" t="str">
        <f t="shared" si="1"/>
        <v>Bajo (1-4)</v>
      </c>
    </row>
    <row r="130">
      <c r="A130" s="23" t="s">
        <v>1697</v>
      </c>
      <c r="B130" s="24">
        <v>1.0</v>
      </c>
      <c r="C130" s="23" t="s">
        <v>1698</v>
      </c>
      <c r="D130" s="24">
        <v>25.0</v>
      </c>
      <c r="E130" s="23" t="s">
        <v>880</v>
      </c>
      <c r="F130" s="24">
        <v>13.0</v>
      </c>
      <c r="G130" s="23" t="s">
        <v>69</v>
      </c>
      <c r="H130" s="23" t="s">
        <v>1464</v>
      </c>
      <c r="I130" s="24">
        <v>30.0</v>
      </c>
      <c r="J130" s="47" t="str">
        <f t="shared" si="1"/>
        <v>Bajo (1-4)</v>
      </c>
    </row>
    <row r="131">
      <c r="A131" s="23" t="s">
        <v>1699</v>
      </c>
      <c r="B131" s="24">
        <v>4.0</v>
      </c>
      <c r="C131" s="23" t="s">
        <v>1700</v>
      </c>
      <c r="D131" s="24">
        <v>70.0</v>
      </c>
      <c r="E131" s="23" t="s">
        <v>148</v>
      </c>
      <c r="F131" s="24">
        <v>13.0</v>
      </c>
      <c r="G131" s="23" t="s">
        <v>69</v>
      </c>
      <c r="H131" s="23" t="s">
        <v>1455</v>
      </c>
      <c r="I131" s="24">
        <v>120.0</v>
      </c>
      <c r="J131" s="47" t="str">
        <f t="shared" si="1"/>
        <v>Bajo (1-4)</v>
      </c>
    </row>
    <row r="132">
      <c r="A132" s="23" t="s">
        <v>1701</v>
      </c>
      <c r="B132" s="24">
        <v>3.0</v>
      </c>
      <c r="C132" s="23" t="s">
        <v>1700</v>
      </c>
      <c r="D132" s="24">
        <v>50.0</v>
      </c>
      <c r="E132" s="23" t="s">
        <v>148</v>
      </c>
      <c r="F132" s="24">
        <v>13.0</v>
      </c>
      <c r="G132" s="23" t="s">
        <v>69</v>
      </c>
      <c r="H132" s="23" t="s">
        <v>148</v>
      </c>
      <c r="I132" s="24">
        <v>100.0</v>
      </c>
      <c r="J132" s="47" t="str">
        <f t="shared" si="1"/>
        <v>Bajo (1-4)</v>
      </c>
    </row>
    <row r="133">
      <c r="A133" s="23" t="s">
        <v>1702</v>
      </c>
      <c r="B133" s="24">
        <v>4.0</v>
      </c>
      <c r="C133" s="23" t="s">
        <v>1700</v>
      </c>
      <c r="D133" s="24">
        <v>50.0</v>
      </c>
      <c r="E133" s="23" t="s">
        <v>148</v>
      </c>
      <c r="F133" s="24">
        <v>13.0</v>
      </c>
      <c r="G133" s="23" t="s">
        <v>69</v>
      </c>
      <c r="H133" s="23" t="s">
        <v>1455</v>
      </c>
      <c r="I133" s="24">
        <v>120.0</v>
      </c>
      <c r="J133" s="47" t="str">
        <f t="shared" si="1"/>
        <v>Bajo (1-4)</v>
      </c>
    </row>
    <row r="134">
      <c r="A134" s="23" t="s">
        <v>1703</v>
      </c>
      <c r="B134" s="24">
        <v>3.0</v>
      </c>
      <c r="C134" s="23" t="s">
        <v>1546</v>
      </c>
      <c r="D134" s="24">
        <v>6.0</v>
      </c>
      <c r="E134" s="23" t="s">
        <v>1557</v>
      </c>
      <c r="F134" s="24">
        <v>16.0</v>
      </c>
      <c r="G134" s="23" t="s">
        <v>69</v>
      </c>
      <c r="H134" s="23" t="s">
        <v>1464</v>
      </c>
      <c r="I134" s="24">
        <v>40.0</v>
      </c>
      <c r="J134" s="47" t="str">
        <f t="shared" si="1"/>
        <v>Bajo (1-4)</v>
      </c>
    </row>
    <row r="135">
      <c r="A135" s="23" t="s">
        <v>1704</v>
      </c>
      <c r="B135" s="24">
        <v>2.0</v>
      </c>
      <c r="C135" s="23" t="s">
        <v>1705</v>
      </c>
      <c r="D135" s="24">
        <v>20.0</v>
      </c>
      <c r="E135" s="23" t="s">
        <v>1557</v>
      </c>
      <c r="F135" s="24">
        <v>16.0</v>
      </c>
      <c r="G135" s="23" t="s">
        <v>69</v>
      </c>
      <c r="H135" s="23" t="s">
        <v>148</v>
      </c>
      <c r="I135" s="24">
        <v>10.0</v>
      </c>
      <c r="J135" s="47" t="str">
        <f t="shared" si="1"/>
        <v>Bajo (1-4)</v>
      </c>
    </row>
    <row r="136">
      <c r="A136" s="23" t="s">
        <v>1706</v>
      </c>
      <c r="B136" s="24">
        <v>2.0</v>
      </c>
      <c r="C136" s="23" t="s">
        <v>1707</v>
      </c>
      <c r="D136" s="24">
        <v>100.0</v>
      </c>
      <c r="E136" s="23" t="s">
        <v>1557</v>
      </c>
      <c r="F136" s="24">
        <v>13.0</v>
      </c>
      <c r="G136" s="23" t="s">
        <v>69</v>
      </c>
      <c r="H136" s="23" t="s">
        <v>1461</v>
      </c>
      <c r="I136" s="24">
        <v>30.0</v>
      </c>
      <c r="J136" s="47" t="str">
        <f t="shared" si="1"/>
        <v>Bajo (1-4)</v>
      </c>
    </row>
    <row r="137">
      <c r="A137" s="23" t="s">
        <v>1708</v>
      </c>
      <c r="B137" s="24">
        <v>2.0</v>
      </c>
      <c r="C137" s="23" t="s">
        <v>1707</v>
      </c>
      <c r="D137" s="24">
        <v>50.0</v>
      </c>
      <c r="E137" s="23" t="s">
        <v>1557</v>
      </c>
      <c r="F137" s="24">
        <v>13.0</v>
      </c>
      <c r="G137" s="23" t="s">
        <v>41</v>
      </c>
      <c r="H137" s="23" t="s">
        <v>1472</v>
      </c>
      <c r="I137" s="24">
        <v>30.0</v>
      </c>
      <c r="J137" s="47" t="str">
        <f t="shared" si="1"/>
        <v>Bajo (1-4)</v>
      </c>
    </row>
    <row r="138">
      <c r="A138" s="23" t="s">
        <v>1709</v>
      </c>
      <c r="B138" s="24">
        <v>6.0</v>
      </c>
      <c r="C138" s="23" t="s">
        <v>1710</v>
      </c>
      <c r="D138" s="24">
        <v>5.0</v>
      </c>
      <c r="E138" s="23" t="s">
        <v>1561</v>
      </c>
      <c r="F138" s="24">
        <v>18.0</v>
      </c>
      <c r="G138" s="23" t="s">
        <v>69</v>
      </c>
      <c r="H138" s="23" t="s">
        <v>1464</v>
      </c>
      <c r="I138" s="24">
        <v>10.0</v>
      </c>
      <c r="J138" s="47" t="str">
        <f t="shared" si="1"/>
        <v>Medio (5-7)</v>
      </c>
    </row>
    <row r="139">
      <c r="A139" s="23" t="s">
        <v>1711</v>
      </c>
      <c r="B139" s="24">
        <v>3.0</v>
      </c>
      <c r="C139" s="23" t="s">
        <v>1712</v>
      </c>
      <c r="D139" s="24">
        <v>10.0</v>
      </c>
      <c r="E139" s="23" t="s">
        <v>1561</v>
      </c>
      <c r="F139" s="24">
        <v>18.0</v>
      </c>
      <c r="G139" s="23" t="s">
        <v>1549</v>
      </c>
      <c r="H139" s="23" t="s">
        <v>1713</v>
      </c>
      <c r="I139" s="24">
        <v>5.0</v>
      </c>
      <c r="J139" s="47" t="str">
        <f t="shared" si="1"/>
        <v>Bajo (1-4)</v>
      </c>
    </row>
    <row r="140">
      <c r="A140" s="23" t="s">
        <v>1714</v>
      </c>
      <c r="B140" s="24">
        <v>8.0</v>
      </c>
      <c r="C140" s="23" t="s">
        <v>1715</v>
      </c>
      <c r="D140" s="24">
        <v>5.0</v>
      </c>
      <c r="E140" s="23" t="s">
        <v>961</v>
      </c>
      <c r="F140" s="24">
        <v>18.0</v>
      </c>
      <c r="G140" s="23" t="s">
        <v>69</v>
      </c>
      <c r="H140" s="23" t="s">
        <v>1464</v>
      </c>
      <c r="I140" s="24">
        <v>15.0</v>
      </c>
      <c r="J140" s="47" t="str">
        <f t="shared" si="1"/>
        <v>Alto (8-10)</v>
      </c>
    </row>
    <row r="141">
      <c r="A141" s="23" t="s">
        <v>1716</v>
      </c>
      <c r="B141" s="24">
        <v>6.0</v>
      </c>
      <c r="C141" s="23" t="s">
        <v>1484</v>
      </c>
      <c r="D141" s="24">
        <v>20.0</v>
      </c>
      <c r="E141" s="23" t="s">
        <v>961</v>
      </c>
      <c r="F141" s="24">
        <v>18.0</v>
      </c>
      <c r="G141" s="23" t="s">
        <v>69</v>
      </c>
      <c r="H141" s="23" t="s">
        <v>1472</v>
      </c>
      <c r="I141" s="24">
        <v>10.0</v>
      </c>
      <c r="J141" s="47" t="str">
        <f t="shared" si="1"/>
        <v>Medio (5-7)</v>
      </c>
    </row>
    <row r="142">
      <c r="A142" s="23" t="s">
        <v>1717</v>
      </c>
      <c r="B142" s="24">
        <v>5.0</v>
      </c>
      <c r="C142" s="23" t="s">
        <v>1718</v>
      </c>
      <c r="D142" s="24">
        <v>50.0</v>
      </c>
      <c r="E142" s="23" t="s">
        <v>961</v>
      </c>
      <c r="F142" s="24">
        <v>18.0</v>
      </c>
      <c r="G142" s="23" t="s">
        <v>69</v>
      </c>
      <c r="H142" s="23" t="s">
        <v>1472</v>
      </c>
      <c r="I142" s="24">
        <v>15.0</v>
      </c>
      <c r="J142" s="47" t="str">
        <f t="shared" si="1"/>
        <v>Medio (5-7)</v>
      </c>
    </row>
    <row r="143">
      <c r="A143" s="23" t="s">
        <v>1719</v>
      </c>
      <c r="B143" s="24">
        <v>6.0</v>
      </c>
      <c r="C143" s="23" t="s">
        <v>1720</v>
      </c>
      <c r="D143" s="24">
        <v>100.0</v>
      </c>
      <c r="E143" s="23" t="s">
        <v>961</v>
      </c>
      <c r="F143" s="24">
        <v>18.0</v>
      </c>
      <c r="G143" s="23" t="s">
        <v>383</v>
      </c>
      <c r="H143" s="23" t="s">
        <v>1455</v>
      </c>
      <c r="I143" s="24">
        <v>10.0</v>
      </c>
      <c r="J143" s="47" t="str">
        <f t="shared" si="1"/>
        <v>Medio (5-7)</v>
      </c>
    </row>
    <row r="144">
      <c r="A144" s="23" t="s">
        <v>1721</v>
      </c>
      <c r="B144" s="24">
        <v>7.0</v>
      </c>
      <c r="C144" s="23" t="s">
        <v>1722</v>
      </c>
      <c r="D144" s="24">
        <v>50.0</v>
      </c>
      <c r="E144" s="23" t="s">
        <v>961</v>
      </c>
      <c r="F144" s="24">
        <v>18.0</v>
      </c>
      <c r="G144" s="23" t="s">
        <v>45</v>
      </c>
      <c r="H144" s="23" t="s">
        <v>1472</v>
      </c>
      <c r="I144" s="24">
        <v>10.0</v>
      </c>
      <c r="J144" s="47" t="str">
        <f t="shared" si="1"/>
        <v>Medio (5-7)</v>
      </c>
    </row>
    <row r="145">
      <c r="A145" s="23" t="s">
        <v>1723</v>
      </c>
      <c r="B145" s="24">
        <v>4.0</v>
      </c>
      <c r="C145" s="23" t="s">
        <v>1688</v>
      </c>
      <c r="D145" s="24">
        <v>10.0</v>
      </c>
      <c r="E145" s="23" t="s">
        <v>961</v>
      </c>
      <c r="F145" s="24">
        <v>18.0</v>
      </c>
      <c r="G145" s="23" t="s">
        <v>45</v>
      </c>
      <c r="H145" s="23" t="s">
        <v>1464</v>
      </c>
      <c r="I145" s="24">
        <v>10.0</v>
      </c>
      <c r="J145" s="47" t="str">
        <f t="shared" si="1"/>
        <v>Bajo (1-4)</v>
      </c>
    </row>
    <row r="146">
      <c r="A146" s="23" t="s">
        <v>1724</v>
      </c>
      <c r="B146" s="24">
        <v>7.0</v>
      </c>
      <c r="C146" s="23" t="s">
        <v>1725</v>
      </c>
      <c r="D146" s="24">
        <v>300.0</v>
      </c>
      <c r="E146" s="23" t="s">
        <v>961</v>
      </c>
      <c r="F146" s="24">
        <v>18.0</v>
      </c>
      <c r="G146" s="23" t="s">
        <v>1530</v>
      </c>
      <c r="H146" s="23" t="s">
        <v>1472</v>
      </c>
      <c r="I146" s="24">
        <v>20.0</v>
      </c>
      <c r="J146" s="47" t="str">
        <f t="shared" si="1"/>
        <v>Medio (5-7)</v>
      </c>
    </row>
    <row r="147">
      <c r="A147" s="23" t="s">
        <v>1726</v>
      </c>
      <c r="B147" s="24">
        <v>9.0</v>
      </c>
      <c r="C147" s="23" t="s">
        <v>1727</v>
      </c>
      <c r="D147" s="24">
        <v>60.0</v>
      </c>
      <c r="E147" s="23" t="s">
        <v>961</v>
      </c>
      <c r="F147" s="24">
        <v>18.0</v>
      </c>
      <c r="G147" s="23" t="s">
        <v>383</v>
      </c>
      <c r="H147" s="23" t="s">
        <v>1575</v>
      </c>
      <c r="I147" s="24">
        <v>10.0</v>
      </c>
      <c r="J147" s="47" t="str">
        <f t="shared" si="1"/>
        <v>Alto (8-10)</v>
      </c>
    </row>
    <row r="148">
      <c r="A148" s="23" t="s">
        <v>1728</v>
      </c>
      <c r="B148" s="24">
        <v>5.0</v>
      </c>
      <c r="C148" s="23" t="s">
        <v>1729</v>
      </c>
      <c r="D148" s="24">
        <v>50.0</v>
      </c>
      <c r="E148" s="23" t="s">
        <v>1730</v>
      </c>
      <c r="F148" s="24">
        <v>18.0</v>
      </c>
      <c r="G148" s="23" t="s">
        <v>1549</v>
      </c>
      <c r="H148" s="23" t="s">
        <v>1472</v>
      </c>
      <c r="I148" s="24">
        <v>15.0</v>
      </c>
      <c r="J148" s="47" t="str">
        <f t="shared" si="1"/>
        <v>Medio (5-7)</v>
      </c>
    </row>
    <row r="149">
      <c r="A149" s="23" t="s">
        <v>1030</v>
      </c>
      <c r="B149" s="24">
        <v>4.0</v>
      </c>
      <c r="C149" s="23" t="s">
        <v>1731</v>
      </c>
      <c r="D149" s="24">
        <v>80.0</v>
      </c>
      <c r="E149" s="23" t="s">
        <v>1730</v>
      </c>
      <c r="F149" s="24">
        <v>18.0</v>
      </c>
      <c r="G149" s="23" t="s">
        <v>1732</v>
      </c>
      <c r="H149" s="23" t="s">
        <v>1531</v>
      </c>
      <c r="I149" s="24">
        <v>20.0</v>
      </c>
      <c r="J149" s="47" t="str">
        <f t="shared" si="1"/>
        <v>Bajo (1-4)</v>
      </c>
    </row>
    <row r="150">
      <c r="A150" s="23" t="s">
        <v>1733</v>
      </c>
      <c r="B150" s="24">
        <v>6.0</v>
      </c>
      <c r="C150" s="23" t="s">
        <v>1734</v>
      </c>
      <c r="D150" s="24">
        <v>10.0</v>
      </c>
      <c r="E150" s="23" t="s">
        <v>1730</v>
      </c>
      <c r="F150" s="24">
        <v>18.0</v>
      </c>
      <c r="G150" s="23" t="s">
        <v>1549</v>
      </c>
      <c r="H150" s="23" t="s">
        <v>1455</v>
      </c>
      <c r="I150" s="24">
        <v>10.0</v>
      </c>
      <c r="J150" s="47" t="str">
        <f t="shared" si="1"/>
        <v>Medio (5-7)</v>
      </c>
    </row>
    <row r="151">
      <c r="A151" s="23" t="s">
        <v>809</v>
      </c>
      <c r="B151" s="24">
        <v>8.0</v>
      </c>
      <c r="C151" s="23" t="s">
        <v>1735</v>
      </c>
      <c r="D151" s="24">
        <v>60.0</v>
      </c>
      <c r="E151" s="23" t="s">
        <v>1730</v>
      </c>
      <c r="F151" s="24">
        <v>18.0</v>
      </c>
      <c r="G151" s="23" t="s">
        <v>69</v>
      </c>
      <c r="H151" s="23" t="s">
        <v>1461</v>
      </c>
      <c r="I151" s="24">
        <v>5.0</v>
      </c>
      <c r="J151" s="47" t="str">
        <f t="shared" si="1"/>
        <v>Alto (8-10)</v>
      </c>
    </row>
    <row r="152">
      <c r="A152" s="23" t="s">
        <v>1045</v>
      </c>
      <c r="B152" s="24">
        <v>3.0</v>
      </c>
      <c r="C152" s="23" t="s">
        <v>1736</v>
      </c>
      <c r="D152" s="24">
        <v>10.0</v>
      </c>
      <c r="E152" s="23" t="s">
        <v>1044</v>
      </c>
      <c r="F152" s="24">
        <v>18.0</v>
      </c>
      <c r="G152" s="23" t="s">
        <v>1549</v>
      </c>
      <c r="H152" s="23" t="s">
        <v>1455</v>
      </c>
      <c r="I152" s="24">
        <v>15.0</v>
      </c>
      <c r="J152" s="47" t="str">
        <f t="shared" si="1"/>
        <v>Bajo (1-4)</v>
      </c>
    </row>
    <row r="153">
      <c r="A153" s="23" t="s">
        <v>1737</v>
      </c>
      <c r="B153" s="24">
        <v>3.0</v>
      </c>
      <c r="C153" s="23" t="s">
        <v>1736</v>
      </c>
      <c r="D153" s="24">
        <v>5.0</v>
      </c>
      <c r="E153" s="23" t="s">
        <v>1044</v>
      </c>
      <c r="F153" s="24">
        <v>18.0</v>
      </c>
      <c r="G153" s="23" t="s">
        <v>1549</v>
      </c>
      <c r="H153" s="23" t="s">
        <v>1455</v>
      </c>
      <c r="I153" s="24">
        <v>10.0</v>
      </c>
      <c r="J153" s="47" t="str">
        <f t="shared" si="1"/>
        <v>Bajo (1-4)</v>
      </c>
    </row>
    <row r="154">
      <c r="A154" s="23" t="s">
        <v>1738</v>
      </c>
      <c r="B154" s="24">
        <v>3.0</v>
      </c>
      <c r="C154" s="23" t="s">
        <v>1739</v>
      </c>
      <c r="D154" s="24">
        <v>200.0</v>
      </c>
      <c r="E154" s="23" t="s">
        <v>1044</v>
      </c>
      <c r="F154" s="24">
        <v>18.0</v>
      </c>
      <c r="G154" s="23" t="s">
        <v>69</v>
      </c>
      <c r="H154" s="23" t="s">
        <v>1459</v>
      </c>
      <c r="I154" s="24">
        <v>15.0</v>
      </c>
      <c r="J154" s="47" t="str">
        <f t="shared" si="1"/>
        <v>Bajo (1-4)</v>
      </c>
    </row>
    <row r="155">
      <c r="A155" s="23" t="s">
        <v>1740</v>
      </c>
      <c r="B155" s="24">
        <v>2.0</v>
      </c>
      <c r="C155" s="23" t="s">
        <v>1741</v>
      </c>
      <c r="D155" s="24">
        <v>500.0</v>
      </c>
      <c r="E155" s="23" t="s">
        <v>1516</v>
      </c>
      <c r="F155" s="24">
        <v>13.0</v>
      </c>
      <c r="G155" s="23" t="s">
        <v>69</v>
      </c>
      <c r="H155" s="23" t="s">
        <v>1461</v>
      </c>
      <c r="I155" s="24">
        <v>5.0</v>
      </c>
      <c r="J155" s="47" t="str">
        <f t="shared" si="1"/>
        <v>Bajo (1-4)</v>
      </c>
    </row>
    <row r="156">
      <c r="A156" s="23" t="s">
        <v>1742</v>
      </c>
      <c r="B156" s="24">
        <v>3.0</v>
      </c>
      <c r="C156" s="23" t="s">
        <v>1743</v>
      </c>
      <c r="D156" s="24">
        <v>140.0</v>
      </c>
      <c r="E156" s="23" t="s">
        <v>1516</v>
      </c>
      <c r="F156" s="24">
        <v>16.0</v>
      </c>
      <c r="G156" s="23" t="s">
        <v>1744</v>
      </c>
      <c r="H156" s="23" t="s">
        <v>1455</v>
      </c>
      <c r="I156" s="24">
        <v>30.0</v>
      </c>
      <c r="J156" s="47" t="str">
        <f t="shared" si="1"/>
        <v>Bajo (1-4)</v>
      </c>
    </row>
    <row r="157">
      <c r="A157" s="23" t="s">
        <v>1745</v>
      </c>
      <c r="B157" s="24">
        <v>2.0</v>
      </c>
      <c r="C157" s="23" t="s">
        <v>1746</v>
      </c>
      <c r="D157" s="24">
        <v>20.0</v>
      </c>
      <c r="E157" s="23" t="s">
        <v>1516</v>
      </c>
      <c r="F157" s="24">
        <v>13.0</v>
      </c>
      <c r="G157" s="23" t="s">
        <v>1530</v>
      </c>
      <c r="H157" s="23" t="s">
        <v>1461</v>
      </c>
      <c r="I157" s="24">
        <v>20.0</v>
      </c>
      <c r="J157" s="47" t="str">
        <f t="shared" si="1"/>
        <v>Bajo (1-4)</v>
      </c>
    </row>
    <row r="158">
      <c r="A158" s="23" t="s">
        <v>1747</v>
      </c>
      <c r="B158" s="24">
        <v>3.0</v>
      </c>
      <c r="C158" s="23" t="s">
        <v>1748</v>
      </c>
      <c r="D158" s="24">
        <v>1000.0</v>
      </c>
      <c r="E158" s="23" t="s">
        <v>1524</v>
      </c>
      <c r="F158" s="24">
        <v>13.0</v>
      </c>
      <c r="G158" s="23" t="s">
        <v>69</v>
      </c>
      <c r="H158" s="23" t="s">
        <v>1472</v>
      </c>
      <c r="I158" s="24">
        <v>10.0</v>
      </c>
      <c r="J158" s="47" t="str">
        <f t="shared" si="1"/>
        <v>Bajo (1-4)</v>
      </c>
    </row>
    <row r="159">
      <c r="A159" s="23" t="s">
        <v>1749</v>
      </c>
      <c r="B159" s="24">
        <v>3.0</v>
      </c>
      <c r="C159" s="23" t="s">
        <v>1748</v>
      </c>
      <c r="D159" s="24">
        <v>500.0</v>
      </c>
      <c r="E159" s="23" t="s">
        <v>1524</v>
      </c>
      <c r="F159" s="24">
        <v>13.0</v>
      </c>
      <c r="G159" s="23" t="s">
        <v>69</v>
      </c>
      <c r="H159" s="23" t="s">
        <v>1472</v>
      </c>
      <c r="I159" s="24">
        <v>10.0</v>
      </c>
      <c r="J159" s="47" t="str">
        <f t="shared" si="1"/>
        <v>Bajo (1-4)</v>
      </c>
    </row>
    <row r="160">
      <c r="A160" s="23" t="s">
        <v>1750</v>
      </c>
      <c r="B160" s="24">
        <v>2.0</v>
      </c>
      <c r="C160" s="23" t="s">
        <v>1751</v>
      </c>
      <c r="D160" s="24">
        <v>50.0</v>
      </c>
      <c r="E160" s="23" t="s">
        <v>1524</v>
      </c>
      <c r="F160" s="24">
        <v>13.0</v>
      </c>
      <c r="G160" s="23" t="s">
        <v>69</v>
      </c>
      <c r="H160" s="23" t="s">
        <v>979</v>
      </c>
      <c r="I160" s="24">
        <v>10.0</v>
      </c>
      <c r="J160" s="47" t="str">
        <f t="shared" si="1"/>
        <v>Bajo (1-4)</v>
      </c>
    </row>
    <row r="161">
      <c r="A161" s="23" t="s">
        <v>1752</v>
      </c>
      <c r="B161" s="24">
        <v>3.0</v>
      </c>
      <c r="C161" s="23" t="s">
        <v>1753</v>
      </c>
      <c r="D161" s="24">
        <v>80.0</v>
      </c>
      <c r="E161" s="23" t="s">
        <v>1524</v>
      </c>
      <c r="F161" s="24">
        <v>13.0</v>
      </c>
      <c r="G161" s="23" t="s">
        <v>359</v>
      </c>
      <c r="H161" s="23" t="s">
        <v>1472</v>
      </c>
      <c r="I161" s="24">
        <v>5.0</v>
      </c>
      <c r="J161" s="47" t="str">
        <f t="shared" si="1"/>
        <v>Bajo (1-4)</v>
      </c>
    </row>
    <row r="162">
      <c r="A162" s="23" t="s">
        <v>1754</v>
      </c>
      <c r="B162" s="24">
        <v>6.0</v>
      </c>
      <c r="C162" s="23" t="s">
        <v>1629</v>
      </c>
      <c r="D162" s="24">
        <v>200.0</v>
      </c>
      <c r="E162" s="23" t="s">
        <v>1524</v>
      </c>
      <c r="F162" s="24">
        <v>13.0</v>
      </c>
      <c r="G162" s="23" t="s">
        <v>1755</v>
      </c>
      <c r="H162" s="23" t="s">
        <v>1472</v>
      </c>
      <c r="I162" s="24">
        <v>5.0</v>
      </c>
      <c r="J162" s="47" t="str">
        <f t="shared" si="1"/>
        <v>Medio (5-7)</v>
      </c>
    </row>
    <row r="163">
      <c r="A163" s="23" t="s">
        <v>1185</v>
      </c>
      <c r="B163" s="24">
        <v>7.0</v>
      </c>
      <c r="C163" s="23" t="s">
        <v>1756</v>
      </c>
      <c r="D163" s="24">
        <v>5.0</v>
      </c>
      <c r="E163" s="23" t="s">
        <v>822</v>
      </c>
      <c r="F163" s="24">
        <v>13.0</v>
      </c>
      <c r="G163" s="23" t="s">
        <v>69</v>
      </c>
      <c r="H163" s="23" t="s">
        <v>1514</v>
      </c>
      <c r="I163" s="24">
        <v>20.0</v>
      </c>
      <c r="J163" s="47" t="str">
        <f t="shared" si="1"/>
        <v>Medio (5-7)</v>
      </c>
    </row>
    <row r="164">
      <c r="A164" s="23" t="s">
        <v>1084</v>
      </c>
      <c r="B164" s="24">
        <v>2.0</v>
      </c>
      <c r="C164" s="23" t="s">
        <v>1757</v>
      </c>
      <c r="D164" s="24">
        <v>60.0</v>
      </c>
      <c r="E164" s="23" t="s">
        <v>822</v>
      </c>
      <c r="F164" s="24">
        <v>13.0</v>
      </c>
      <c r="G164" s="23" t="s">
        <v>69</v>
      </c>
      <c r="H164" s="23" t="s">
        <v>1758</v>
      </c>
      <c r="I164" s="24">
        <v>40.0</v>
      </c>
      <c r="J164" s="47" t="str">
        <f t="shared" si="1"/>
        <v>Bajo (1-4)</v>
      </c>
    </row>
    <row r="165">
      <c r="A165" s="23" t="s">
        <v>1340</v>
      </c>
      <c r="B165" s="24">
        <v>3.0</v>
      </c>
      <c r="C165" s="23" t="s">
        <v>1759</v>
      </c>
      <c r="D165" s="24">
        <v>350.0</v>
      </c>
      <c r="E165" s="23" t="s">
        <v>822</v>
      </c>
      <c r="F165" s="24">
        <v>13.0</v>
      </c>
      <c r="G165" s="23" t="s">
        <v>1567</v>
      </c>
      <c r="H165" s="23" t="s">
        <v>1455</v>
      </c>
      <c r="I165" s="24">
        <v>40.0</v>
      </c>
      <c r="J165" s="47" t="str">
        <f t="shared" si="1"/>
        <v>Bajo (1-4)</v>
      </c>
    </row>
    <row r="166">
      <c r="A166" s="23" t="s">
        <v>1760</v>
      </c>
      <c r="B166" s="24">
        <v>1.0</v>
      </c>
      <c r="C166" s="23" t="s">
        <v>1668</v>
      </c>
      <c r="D166" s="24">
        <v>200.0</v>
      </c>
      <c r="E166" s="23" t="s">
        <v>822</v>
      </c>
      <c r="F166" s="24">
        <v>13.0</v>
      </c>
      <c r="G166" s="23" t="s">
        <v>69</v>
      </c>
      <c r="H166" s="23" t="s">
        <v>1514</v>
      </c>
      <c r="I166" s="24">
        <v>40.0</v>
      </c>
      <c r="J166" s="47" t="str">
        <f t="shared" si="1"/>
        <v>Bajo (1-4)</v>
      </c>
    </row>
    <row r="167">
      <c r="A167" s="23" t="s">
        <v>1761</v>
      </c>
      <c r="B167" s="24">
        <v>3.0</v>
      </c>
      <c r="C167" s="23" t="s">
        <v>1762</v>
      </c>
      <c r="D167" s="24">
        <v>200.0</v>
      </c>
      <c r="E167" s="23" t="s">
        <v>822</v>
      </c>
      <c r="F167" s="24">
        <v>13.0</v>
      </c>
      <c r="G167" s="23" t="s">
        <v>69</v>
      </c>
      <c r="H167" s="23" t="s">
        <v>1459</v>
      </c>
      <c r="I167" s="24">
        <v>40.0</v>
      </c>
      <c r="J167" s="47" t="str">
        <f t="shared" si="1"/>
        <v>Bajo (1-4)</v>
      </c>
    </row>
    <row r="168">
      <c r="A168" s="23" t="s">
        <v>1763</v>
      </c>
      <c r="B168" s="24">
        <v>2.0</v>
      </c>
      <c r="C168" s="23" t="s">
        <v>1668</v>
      </c>
      <c r="D168" s="24">
        <v>1000.0</v>
      </c>
      <c r="E168" s="23" t="s">
        <v>822</v>
      </c>
      <c r="F168" s="24">
        <v>13.0</v>
      </c>
      <c r="G168" s="23" t="s">
        <v>69</v>
      </c>
      <c r="H168" s="23" t="s">
        <v>148</v>
      </c>
      <c r="I168" s="24">
        <v>30.0</v>
      </c>
      <c r="J168" s="47" t="str">
        <f t="shared" si="1"/>
        <v>Bajo (1-4)</v>
      </c>
    </row>
    <row r="169">
      <c r="A169" s="23" t="s">
        <v>1230</v>
      </c>
      <c r="B169" s="24">
        <v>1.0</v>
      </c>
      <c r="C169" s="23" t="s">
        <v>1668</v>
      </c>
      <c r="D169" s="24">
        <v>80.0</v>
      </c>
      <c r="E169" s="23" t="s">
        <v>1764</v>
      </c>
      <c r="F169" s="24">
        <v>13.0</v>
      </c>
      <c r="G169" s="23" t="s">
        <v>69</v>
      </c>
      <c r="H169" s="23" t="s">
        <v>1455</v>
      </c>
      <c r="I169" s="24">
        <v>5.0</v>
      </c>
      <c r="J169" s="47" t="str">
        <f t="shared" si="1"/>
        <v>Bajo (1-4)</v>
      </c>
    </row>
    <row r="170">
      <c r="A170" s="23" t="s">
        <v>1765</v>
      </c>
      <c r="B170" s="24">
        <v>3.0</v>
      </c>
      <c r="C170" s="23" t="s">
        <v>1766</v>
      </c>
      <c r="D170" s="24">
        <v>100.0</v>
      </c>
      <c r="E170" s="23" t="s">
        <v>1764</v>
      </c>
      <c r="F170" s="24">
        <v>13.0</v>
      </c>
      <c r="G170" s="23" t="s">
        <v>69</v>
      </c>
      <c r="H170" s="23" t="s">
        <v>1455</v>
      </c>
      <c r="I170" s="24">
        <v>5.0</v>
      </c>
      <c r="J170" s="47" t="str">
        <f t="shared" si="1"/>
        <v>Bajo (1-4)</v>
      </c>
    </row>
    <row r="171">
      <c r="A171" s="23" t="s">
        <v>1767</v>
      </c>
      <c r="B171" s="24">
        <v>6.0</v>
      </c>
      <c r="C171" s="23" t="s">
        <v>1768</v>
      </c>
      <c r="D171" s="24">
        <v>100.0</v>
      </c>
      <c r="E171" s="23" t="s">
        <v>1764</v>
      </c>
      <c r="F171" s="24">
        <v>13.0</v>
      </c>
      <c r="G171" s="23" t="s">
        <v>1512</v>
      </c>
      <c r="H171" s="23" t="s">
        <v>1455</v>
      </c>
      <c r="I171" s="24">
        <v>20.0</v>
      </c>
      <c r="J171" s="47" t="str">
        <f t="shared" si="1"/>
        <v>Medio (5-7)</v>
      </c>
    </row>
    <row r="172">
      <c r="A172" s="23" t="s">
        <v>1769</v>
      </c>
      <c r="B172" s="24">
        <v>7.0</v>
      </c>
      <c r="C172" s="23" t="s">
        <v>1770</v>
      </c>
      <c r="D172" s="24">
        <v>600.0</v>
      </c>
      <c r="E172" s="23" t="s">
        <v>1764</v>
      </c>
      <c r="F172" s="24">
        <v>13.0</v>
      </c>
      <c r="G172" s="23" t="s">
        <v>551</v>
      </c>
      <c r="H172" s="23" t="s">
        <v>1455</v>
      </c>
      <c r="I172" s="24">
        <v>15.0</v>
      </c>
      <c r="J172" s="47" t="str">
        <f t="shared" si="1"/>
        <v>Medio (5-7)</v>
      </c>
    </row>
    <row r="173">
      <c r="A173" s="23" t="s">
        <v>1771</v>
      </c>
      <c r="B173" s="24">
        <v>1.0</v>
      </c>
      <c r="C173" s="23" t="s">
        <v>1513</v>
      </c>
      <c r="D173" s="24">
        <v>50.0</v>
      </c>
      <c r="E173" s="23" t="s">
        <v>227</v>
      </c>
      <c r="F173" s="24">
        <v>13.0</v>
      </c>
      <c r="G173" s="23" t="s">
        <v>1772</v>
      </c>
      <c r="H173" s="23" t="s">
        <v>1472</v>
      </c>
      <c r="I173" s="24">
        <v>10.0</v>
      </c>
      <c r="J173" s="47" t="str">
        <f t="shared" si="1"/>
        <v>Bajo (1-4)</v>
      </c>
    </row>
    <row r="174">
      <c r="A174" s="23" t="s">
        <v>1773</v>
      </c>
      <c r="B174" s="24">
        <v>1.0</v>
      </c>
      <c r="C174" s="23" t="s">
        <v>1668</v>
      </c>
      <c r="D174" s="24">
        <v>10.0</v>
      </c>
      <c r="E174" s="23" t="s">
        <v>227</v>
      </c>
      <c r="F174" s="24">
        <v>13.0</v>
      </c>
      <c r="G174" s="23" t="s">
        <v>41</v>
      </c>
      <c r="H174" s="23" t="s">
        <v>1472</v>
      </c>
      <c r="I174" s="24">
        <v>5.0</v>
      </c>
      <c r="J174" s="47" t="str">
        <f t="shared" si="1"/>
        <v>Bajo (1-4)</v>
      </c>
    </row>
    <row r="175">
      <c r="A175" s="23" t="s">
        <v>1774</v>
      </c>
      <c r="B175" s="24">
        <v>8.0</v>
      </c>
      <c r="C175" s="23" t="s">
        <v>1775</v>
      </c>
      <c r="D175" s="24">
        <v>30.0</v>
      </c>
      <c r="E175" s="23" t="s">
        <v>798</v>
      </c>
      <c r="F175" s="24">
        <v>13.0</v>
      </c>
      <c r="G175" s="23" t="s">
        <v>69</v>
      </c>
      <c r="H175" s="23" t="s">
        <v>1464</v>
      </c>
      <c r="I175" s="24">
        <v>1.0</v>
      </c>
      <c r="J175" s="47" t="str">
        <f t="shared" si="1"/>
        <v>Alto (8-10)</v>
      </c>
    </row>
    <row r="176">
      <c r="A176" s="23" t="s">
        <v>1776</v>
      </c>
      <c r="B176" s="24">
        <v>2.0</v>
      </c>
      <c r="C176" s="23" t="s">
        <v>1668</v>
      </c>
      <c r="D176" s="24">
        <v>15.0</v>
      </c>
      <c r="E176" s="23" t="s">
        <v>798</v>
      </c>
      <c r="F176" s="24">
        <v>13.0</v>
      </c>
      <c r="G176" s="23" t="s">
        <v>383</v>
      </c>
      <c r="H176" s="23" t="s">
        <v>1464</v>
      </c>
      <c r="I176" s="24">
        <v>1.0</v>
      </c>
      <c r="J176" s="47" t="str">
        <f t="shared" si="1"/>
        <v>Bajo (1-4)</v>
      </c>
    </row>
    <row r="177">
      <c r="A177" s="23" t="s">
        <v>1777</v>
      </c>
      <c r="B177" s="24">
        <v>1.0</v>
      </c>
      <c r="C177" s="23" t="s">
        <v>1668</v>
      </c>
      <c r="D177" s="24">
        <v>5.0</v>
      </c>
      <c r="E177" s="23" t="s">
        <v>798</v>
      </c>
      <c r="F177" s="24">
        <v>13.0</v>
      </c>
      <c r="G177" s="23" t="s">
        <v>69</v>
      </c>
      <c r="H177" s="23" t="s">
        <v>1472</v>
      </c>
      <c r="I177" s="24">
        <v>1.0</v>
      </c>
      <c r="J177" s="47" t="str">
        <f t="shared" si="1"/>
        <v>Bajo (1-4)</v>
      </c>
    </row>
    <row r="178">
      <c r="A178" s="23" t="s">
        <v>1778</v>
      </c>
      <c r="B178" s="24">
        <v>3.0</v>
      </c>
      <c r="C178" s="23" t="s">
        <v>1779</v>
      </c>
      <c r="D178" s="24">
        <v>15.0</v>
      </c>
      <c r="E178" s="23" t="s">
        <v>798</v>
      </c>
      <c r="F178" s="24">
        <v>13.0</v>
      </c>
      <c r="G178" s="23" t="s">
        <v>1780</v>
      </c>
      <c r="H178" s="23" t="s">
        <v>1464</v>
      </c>
      <c r="I178" s="24">
        <v>60.0</v>
      </c>
      <c r="J178" s="47" t="str">
        <f t="shared" si="1"/>
        <v>Bajo (1-4)</v>
      </c>
    </row>
    <row r="179">
      <c r="A179" s="23" t="s">
        <v>1781</v>
      </c>
      <c r="B179" s="24">
        <v>3.0</v>
      </c>
      <c r="C179" s="23" t="s">
        <v>1782</v>
      </c>
      <c r="D179" s="24">
        <v>4.0</v>
      </c>
      <c r="E179" s="23" t="s">
        <v>798</v>
      </c>
      <c r="F179" s="24">
        <v>13.0</v>
      </c>
      <c r="G179" s="23" t="s">
        <v>1783</v>
      </c>
      <c r="H179" s="23" t="s">
        <v>1464</v>
      </c>
      <c r="I179" s="24">
        <v>60.0</v>
      </c>
      <c r="J179" s="47" t="str">
        <f t="shared" si="1"/>
        <v>Bajo (1-4)</v>
      </c>
    </row>
    <row r="180">
      <c r="A180" s="23" t="s">
        <v>1784</v>
      </c>
      <c r="B180" s="24">
        <v>5.0</v>
      </c>
      <c r="C180" s="23" t="s">
        <v>1785</v>
      </c>
      <c r="D180" s="24">
        <v>400.0</v>
      </c>
      <c r="E180" s="23" t="s">
        <v>798</v>
      </c>
      <c r="F180" s="24">
        <v>13.0</v>
      </c>
      <c r="G180" s="23" t="s">
        <v>1786</v>
      </c>
      <c r="H180" s="23" t="s">
        <v>1472</v>
      </c>
      <c r="I180" s="24">
        <v>0.0</v>
      </c>
      <c r="J180" s="47" t="str">
        <f t="shared" si="1"/>
        <v>Medio (5-7)</v>
      </c>
    </row>
    <row r="181">
      <c r="A181" s="23" t="s">
        <v>1787</v>
      </c>
      <c r="B181" s="24">
        <v>7.0</v>
      </c>
      <c r="C181" s="23" t="s">
        <v>1788</v>
      </c>
      <c r="D181" s="24">
        <v>400.0</v>
      </c>
      <c r="E181" s="23" t="s">
        <v>798</v>
      </c>
      <c r="F181" s="24">
        <v>13.0</v>
      </c>
      <c r="G181" s="23" t="s">
        <v>1512</v>
      </c>
      <c r="H181" s="23" t="s">
        <v>1664</v>
      </c>
      <c r="I181" s="24">
        <v>0.0</v>
      </c>
      <c r="J181" s="47" t="str">
        <f t="shared" si="1"/>
        <v>Medio (5-7)</v>
      </c>
    </row>
    <row r="182">
      <c r="A182" s="23" t="s">
        <v>1789</v>
      </c>
      <c r="B182" s="24">
        <v>4.0</v>
      </c>
      <c r="C182" s="23" t="s">
        <v>1790</v>
      </c>
      <c r="D182" s="24">
        <v>500.0</v>
      </c>
      <c r="E182" s="23" t="s">
        <v>798</v>
      </c>
      <c r="F182" s="24">
        <v>13.0</v>
      </c>
      <c r="G182" s="23" t="s">
        <v>69</v>
      </c>
      <c r="H182" s="23" t="s">
        <v>1664</v>
      </c>
      <c r="I182" s="24">
        <v>0.0</v>
      </c>
      <c r="J182" s="47" t="str">
        <f t="shared" si="1"/>
        <v>Bajo (1-4)</v>
      </c>
    </row>
    <row r="183">
      <c r="A183" s="23" t="s">
        <v>1791</v>
      </c>
      <c r="B183" s="24">
        <v>4.0</v>
      </c>
      <c r="C183" s="23" t="s">
        <v>1792</v>
      </c>
      <c r="D183" s="24">
        <v>50.0</v>
      </c>
      <c r="E183" s="23" t="s">
        <v>798</v>
      </c>
      <c r="F183" s="24">
        <v>13.0</v>
      </c>
      <c r="G183" s="23" t="s">
        <v>69</v>
      </c>
      <c r="H183" s="23" t="s">
        <v>1664</v>
      </c>
      <c r="I183" s="24">
        <v>0.0</v>
      </c>
      <c r="J183" s="47" t="str">
        <f t="shared" si="1"/>
        <v>Bajo (1-4)</v>
      </c>
    </row>
    <row r="184">
      <c r="A184" s="23" t="s">
        <v>1793</v>
      </c>
      <c r="B184" s="24">
        <v>6.0</v>
      </c>
      <c r="C184" s="23" t="s">
        <v>1794</v>
      </c>
      <c r="D184" s="24">
        <v>200.0</v>
      </c>
      <c r="E184" s="23" t="s">
        <v>1516</v>
      </c>
      <c r="F184" s="24">
        <v>13.0</v>
      </c>
      <c r="G184" s="23" t="s">
        <v>41</v>
      </c>
      <c r="H184" s="23" t="s">
        <v>1472</v>
      </c>
      <c r="I184" s="24">
        <v>10.0</v>
      </c>
      <c r="J184" s="47" t="str">
        <f t="shared" si="1"/>
        <v>Medio (5-7)</v>
      </c>
    </row>
    <row r="185">
      <c r="A185" s="23" t="s">
        <v>1795</v>
      </c>
      <c r="B185" s="24">
        <v>6.0</v>
      </c>
      <c r="C185" s="23" t="s">
        <v>1794</v>
      </c>
      <c r="D185" s="24">
        <v>100.0</v>
      </c>
      <c r="E185" s="23" t="s">
        <v>1516</v>
      </c>
      <c r="F185" s="24">
        <v>13.0</v>
      </c>
      <c r="G185" s="23" t="s">
        <v>41</v>
      </c>
      <c r="H185" s="23" t="s">
        <v>1472</v>
      </c>
      <c r="I185" s="24">
        <v>10.0</v>
      </c>
      <c r="J185" s="47" t="str">
        <f t="shared" si="1"/>
        <v>Medio (5-7)</v>
      </c>
    </row>
    <row r="186">
      <c r="A186" s="23" t="s">
        <v>985</v>
      </c>
      <c r="B186" s="24">
        <v>2.0</v>
      </c>
      <c r="C186" s="23" t="s">
        <v>1796</v>
      </c>
      <c r="D186" s="24">
        <v>15.0</v>
      </c>
      <c r="E186" s="23" t="s">
        <v>82</v>
      </c>
      <c r="F186" s="24">
        <v>18.0</v>
      </c>
      <c r="G186" s="23" t="s">
        <v>69</v>
      </c>
      <c r="H186" s="23" t="s">
        <v>979</v>
      </c>
      <c r="I186" s="24">
        <v>60.0</v>
      </c>
      <c r="J186" s="47" t="str">
        <f t="shared" si="1"/>
        <v>Bajo (1-4)</v>
      </c>
    </row>
    <row r="187">
      <c r="A187" s="23" t="s">
        <v>1797</v>
      </c>
      <c r="B187" s="24">
        <v>2.0</v>
      </c>
      <c r="C187" s="23" t="s">
        <v>1798</v>
      </c>
      <c r="D187" s="24">
        <v>20.0</v>
      </c>
      <c r="E187" s="23" t="s">
        <v>82</v>
      </c>
      <c r="F187" s="24">
        <v>18.0</v>
      </c>
      <c r="G187" s="23" t="s">
        <v>41</v>
      </c>
      <c r="H187" s="23" t="s">
        <v>979</v>
      </c>
      <c r="I187" s="24">
        <v>60.0</v>
      </c>
      <c r="J187" s="47" t="str">
        <f t="shared" si="1"/>
        <v>Bajo (1-4)</v>
      </c>
    </row>
    <row r="188">
      <c r="A188" s="23" t="s">
        <v>835</v>
      </c>
      <c r="B188" s="24">
        <v>2.0</v>
      </c>
      <c r="C188" s="23" t="s">
        <v>1799</v>
      </c>
      <c r="D188" s="24">
        <v>40.0</v>
      </c>
      <c r="E188" s="23" t="s">
        <v>82</v>
      </c>
      <c r="F188" s="24">
        <v>18.0</v>
      </c>
      <c r="G188" s="23" t="s">
        <v>69</v>
      </c>
      <c r="H188" s="23" t="s">
        <v>979</v>
      </c>
      <c r="I188" s="24">
        <v>60.0</v>
      </c>
      <c r="J188" s="47" t="str">
        <f t="shared" si="1"/>
        <v>Bajo (1-4)</v>
      </c>
    </row>
    <row r="189">
      <c r="A189" s="23" t="s">
        <v>1800</v>
      </c>
      <c r="B189" s="24">
        <v>2.0</v>
      </c>
      <c r="C189" s="23" t="s">
        <v>1801</v>
      </c>
      <c r="D189" s="24">
        <v>10.0</v>
      </c>
      <c r="E189" s="23" t="s">
        <v>82</v>
      </c>
      <c r="F189" s="24">
        <v>18.0</v>
      </c>
      <c r="G189" s="23" t="s">
        <v>69</v>
      </c>
      <c r="H189" s="23" t="s">
        <v>979</v>
      </c>
      <c r="I189" s="24">
        <v>60.0</v>
      </c>
      <c r="J189" s="47" t="str">
        <f t="shared" si="1"/>
        <v>Bajo (1-4)</v>
      </c>
    </row>
    <row r="190">
      <c r="A190" s="23" t="s">
        <v>1802</v>
      </c>
      <c r="B190" s="24">
        <v>3.0</v>
      </c>
      <c r="C190" s="23" t="s">
        <v>1803</v>
      </c>
      <c r="D190" s="24">
        <v>4.0</v>
      </c>
      <c r="E190" s="23" t="s">
        <v>1536</v>
      </c>
      <c r="F190" s="24">
        <v>18.0</v>
      </c>
      <c r="G190" s="23" t="s">
        <v>383</v>
      </c>
      <c r="H190" s="23" t="s">
        <v>979</v>
      </c>
      <c r="I190" s="24">
        <v>60.0</v>
      </c>
      <c r="J190" s="47" t="str">
        <f t="shared" si="1"/>
        <v>Bajo (1-4)</v>
      </c>
    </row>
    <row r="191">
      <c r="A191" s="23" t="s">
        <v>1804</v>
      </c>
      <c r="B191" s="24">
        <v>5.0</v>
      </c>
      <c r="C191" s="23" t="s">
        <v>1805</v>
      </c>
      <c r="D191" s="24">
        <v>400.0</v>
      </c>
      <c r="E191" s="23" t="s">
        <v>1806</v>
      </c>
      <c r="F191" s="24">
        <v>13.0</v>
      </c>
      <c r="G191" s="23" t="s">
        <v>69</v>
      </c>
      <c r="H191" s="23" t="s">
        <v>1807</v>
      </c>
      <c r="I191" s="24">
        <v>30.0</v>
      </c>
      <c r="J191" s="47" t="str">
        <f t="shared" si="1"/>
        <v>Medio (5-7)</v>
      </c>
    </row>
    <row r="192">
      <c r="A192" s="23" t="s">
        <v>1808</v>
      </c>
      <c r="B192" s="24">
        <v>3.0</v>
      </c>
      <c r="C192" s="23" t="s">
        <v>1809</v>
      </c>
      <c r="D192" s="24">
        <v>200.0</v>
      </c>
      <c r="E192" s="23" t="s">
        <v>1806</v>
      </c>
      <c r="F192" s="24">
        <v>13.0</v>
      </c>
      <c r="G192" s="23" t="s">
        <v>1744</v>
      </c>
      <c r="H192" s="23" t="s">
        <v>979</v>
      </c>
      <c r="I192" s="24">
        <v>20.0</v>
      </c>
      <c r="J192" s="47" t="str">
        <f t="shared" si="1"/>
        <v>Bajo (1-4)</v>
      </c>
    </row>
    <row r="193">
      <c r="A193" s="23" t="s">
        <v>1810</v>
      </c>
      <c r="B193" s="24">
        <v>2.0</v>
      </c>
      <c r="C193" s="23" t="s">
        <v>1668</v>
      </c>
      <c r="D193" s="24">
        <v>5.0</v>
      </c>
      <c r="E193" s="23" t="s">
        <v>1806</v>
      </c>
      <c r="F193" s="24">
        <v>13.0</v>
      </c>
      <c r="G193" s="23" t="s">
        <v>69</v>
      </c>
      <c r="H193" s="23" t="s">
        <v>979</v>
      </c>
      <c r="I193" s="24">
        <v>20.0</v>
      </c>
      <c r="J193" s="47" t="str">
        <f t="shared" si="1"/>
        <v>Bajo (1-4)</v>
      </c>
    </row>
    <row r="194">
      <c r="A194" s="23" t="s">
        <v>1811</v>
      </c>
      <c r="B194" s="24">
        <v>4.0</v>
      </c>
      <c r="C194" s="23" t="s">
        <v>1631</v>
      </c>
      <c r="D194" s="24">
        <v>100.0</v>
      </c>
      <c r="E194" s="23" t="s">
        <v>1812</v>
      </c>
      <c r="F194" s="24">
        <v>13.0</v>
      </c>
      <c r="G194" s="23" t="s">
        <v>69</v>
      </c>
      <c r="H194" s="23" t="s">
        <v>1472</v>
      </c>
      <c r="I194" s="24">
        <v>15.0</v>
      </c>
      <c r="J194" s="47" t="str">
        <f t="shared" si="1"/>
        <v>Bajo (1-4)</v>
      </c>
    </row>
    <row r="195">
      <c r="A195" s="23" t="s">
        <v>1000</v>
      </c>
      <c r="B195" s="24">
        <v>5.0</v>
      </c>
      <c r="C195" s="23" t="s">
        <v>1813</v>
      </c>
      <c r="D195" s="24">
        <v>20.0</v>
      </c>
      <c r="E195" s="23" t="s">
        <v>1812</v>
      </c>
      <c r="F195" s="24">
        <v>13.0</v>
      </c>
      <c r="G195" s="23" t="s">
        <v>69</v>
      </c>
      <c r="H195" s="23" t="s">
        <v>1531</v>
      </c>
      <c r="I195" s="24">
        <v>10.0</v>
      </c>
      <c r="J195" s="47" t="str">
        <f t="shared" si="1"/>
        <v>Medio (5-7)</v>
      </c>
    </row>
    <row r="196">
      <c r="A196" s="23" t="s">
        <v>1814</v>
      </c>
      <c r="B196" s="24">
        <v>5.0</v>
      </c>
      <c r="C196" s="23" t="s">
        <v>1815</v>
      </c>
      <c r="D196" s="24">
        <v>8.0</v>
      </c>
      <c r="E196" s="23" t="s">
        <v>1816</v>
      </c>
      <c r="F196" s="24">
        <v>18.0</v>
      </c>
      <c r="G196" s="23" t="s">
        <v>69</v>
      </c>
      <c r="H196" s="23" t="s">
        <v>1531</v>
      </c>
      <c r="I196" s="24">
        <v>10.0</v>
      </c>
      <c r="J196" s="47" t="str">
        <f t="shared" si="1"/>
        <v>Medio (5-7)</v>
      </c>
    </row>
    <row r="197">
      <c r="A197" s="23" t="s">
        <v>1014</v>
      </c>
      <c r="B197" s="24">
        <v>4.0</v>
      </c>
      <c r="C197" s="23" t="s">
        <v>1817</v>
      </c>
      <c r="D197" s="24">
        <v>20.0</v>
      </c>
      <c r="E197" s="23" t="s">
        <v>1013</v>
      </c>
      <c r="F197" s="24">
        <v>18.0</v>
      </c>
      <c r="G197" s="23" t="s">
        <v>69</v>
      </c>
      <c r="H197" s="23" t="s">
        <v>1531</v>
      </c>
      <c r="I197" s="24">
        <v>10.0</v>
      </c>
      <c r="J197" s="47" t="str">
        <f t="shared" si="1"/>
        <v>Bajo (1-4)</v>
      </c>
    </row>
    <row r="198">
      <c r="A198" s="23" t="s">
        <v>1818</v>
      </c>
      <c r="B198" s="24">
        <v>5.0</v>
      </c>
      <c r="C198" s="23" t="s">
        <v>1819</v>
      </c>
      <c r="D198" s="24">
        <v>10.0</v>
      </c>
      <c r="E198" s="23" t="s">
        <v>1013</v>
      </c>
      <c r="F198" s="24">
        <v>18.0</v>
      </c>
      <c r="G198" s="23" t="s">
        <v>69</v>
      </c>
      <c r="H198" s="23" t="s">
        <v>1531</v>
      </c>
      <c r="I198" s="24">
        <v>10.0</v>
      </c>
      <c r="J198" s="47" t="str">
        <f t="shared" si="1"/>
        <v>Medio (5-7)</v>
      </c>
    </row>
    <row r="199">
      <c r="A199" s="23" t="s">
        <v>1820</v>
      </c>
      <c r="B199" s="24">
        <v>4.0</v>
      </c>
      <c r="C199" s="23" t="s">
        <v>1821</v>
      </c>
      <c r="D199" s="24">
        <v>100.0</v>
      </c>
      <c r="E199" s="23" t="s">
        <v>1013</v>
      </c>
      <c r="F199" s="24">
        <v>18.0</v>
      </c>
      <c r="G199" s="23" t="s">
        <v>69</v>
      </c>
      <c r="H199" s="23" t="s">
        <v>1531</v>
      </c>
      <c r="I199" s="24">
        <v>5.0</v>
      </c>
      <c r="J199" s="47" t="str">
        <f t="shared" si="1"/>
        <v>Bajo (1-4)</v>
      </c>
    </row>
    <row r="200">
      <c r="A200" s="48" t="s">
        <v>1018</v>
      </c>
      <c r="B200" s="24">
        <v>2.0</v>
      </c>
      <c r="C200" s="23" t="s">
        <v>1822</v>
      </c>
      <c r="D200" s="24">
        <v>400.0</v>
      </c>
      <c r="E200" s="23" t="s">
        <v>1823</v>
      </c>
      <c r="F200" s="24">
        <v>13.0</v>
      </c>
      <c r="G200" s="23" t="s">
        <v>69</v>
      </c>
      <c r="H200" s="23" t="s">
        <v>1514</v>
      </c>
      <c r="I200" s="24">
        <v>2.0</v>
      </c>
      <c r="J200" s="47" t="str">
        <f t="shared" si="1"/>
        <v>Bajo (1-4)</v>
      </c>
    </row>
    <row r="201">
      <c r="A201" s="23" t="s">
        <v>1824</v>
      </c>
      <c r="B201" s="24">
        <v>3.0</v>
      </c>
      <c r="C201" s="23" t="s">
        <v>1825</v>
      </c>
      <c r="D201" s="24">
        <v>50.0</v>
      </c>
      <c r="E201" s="23" t="s">
        <v>1826</v>
      </c>
      <c r="F201" s="24">
        <v>18.0</v>
      </c>
      <c r="G201" s="23" t="s">
        <v>69</v>
      </c>
      <c r="H201" s="23" t="s">
        <v>1531</v>
      </c>
      <c r="I201" s="24">
        <v>5.0</v>
      </c>
      <c r="J201" s="47" t="str">
        <f t="shared" si="1"/>
        <v>Bajo (1-4)</v>
      </c>
    </row>
    <row r="202">
      <c r="A202" s="23" t="s">
        <v>1827</v>
      </c>
      <c r="B202" s="24">
        <v>6.0</v>
      </c>
      <c r="C202" s="23" t="s">
        <v>1828</v>
      </c>
      <c r="D202" s="24">
        <v>100.0</v>
      </c>
      <c r="E202" s="23" t="s">
        <v>1826</v>
      </c>
      <c r="F202" s="24">
        <v>18.0</v>
      </c>
      <c r="G202" s="23" t="s">
        <v>69</v>
      </c>
      <c r="H202" s="23" t="s">
        <v>1531</v>
      </c>
      <c r="I202" s="24">
        <v>5.0</v>
      </c>
      <c r="J202" s="47" t="str">
        <f t="shared" si="1"/>
        <v>Medio (5-7)</v>
      </c>
    </row>
    <row r="203">
      <c r="A203" s="23" t="s">
        <v>1829</v>
      </c>
      <c r="B203" s="24">
        <v>6.0</v>
      </c>
      <c r="C203" s="23" t="s">
        <v>1830</v>
      </c>
      <c r="D203" s="24">
        <v>50.0</v>
      </c>
      <c r="E203" s="23" t="s">
        <v>1826</v>
      </c>
      <c r="F203" s="24">
        <v>18.0</v>
      </c>
      <c r="G203" s="23" t="s">
        <v>69</v>
      </c>
      <c r="H203" s="23" t="s">
        <v>1531</v>
      </c>
      <c r="I203" s="24">
        <v>5.0</v>
      </c>
      <c r="J203" s="47" t="str">
        <f t="shared" si="1"/>
        <v>Medio (5-7)</v>
      </c>
    </row>
    <row r="204">
      <c r="A204" s="23" t="s">
        <v>1831</v>
      </c>
      <c r="B204" s="24">
        <v>5.0</v>
      </c>
      <c r="C204" s="23" t="s">
        <v>1832</v>
      </c>
      <c r="D204" s="24">
        <v>10.0</v>
      </c>
      <c r="E204" s="23" t="s">
        <v>1826</v>
      </c>
      <c r="F204" s="24">
        <v>18.0</v>
      </c>
      <c r="G204" s="23" t="s">
        <v>69</v>
      </c>
      <c r="H204" s="23" t="s">
        <v>1531</v>
      </c>
      <c r="I204" s="24">
        <v>5.0</v>
      </c>
      <c r="J204" s="47" t="str">
        <f t="shared" si="1"/>
        <v>Medio (5-7)</v>
      </c>
    </row>
    <row r="205">
      <c r="A205" s="23" t="s">
        <v>1833</v>
      </c>
      <c r="B205" s="24">
        <v>2.0</v>
      </c>
      <c r="C205" s="23" t="s">
        <v>1668</v>
      </c>
      <c r="D205" s="24">
        <v>30.0</v>
      </c>
      <c r="E205" s="23" t="s">
        <v>1834</v>
      </c>
      <c r="F205" s="24">
        <v>18.0</v>
      </c>
      <c r="G205" s="23" t="s">
        <v>69</v>
      </c>
      <c r="H205" s="23" t="s">
        <v>1531</v>
      </c>
      <c r="I205" s="24">
        <v>5.0</v>
      </c>
      <c r="J205" s="47" t="str">
        <f t="shared" si="1"/>
        <v>Bajo (1-4)</v>
      </c>
    </row>
    <row r="206">
      <c r="A206" s="23" t="s">
        <v>1835</v>
      </c>
      <c r="B206" s="24">
        <v>2.0</v>
      </c>
      <c r="C206" s="23" t="s">
        <v>1668</v>
      </c>
      <c r="D206" s="24">
        <v>20.0</v>
      </c>
      <c r="E206" s="23" t="s">
        <v>1834</v>
      </c>
      <c r="F206" s="24">
        <v>18.0</v>
      </c>
      <c r="G206" s="23" t="s">
        <v>45</v>
      </c>
      <c r="H206" s="23" t="s">
        <v>1531</v>
      </c>
      <c r="I206" s="24">
        <v>5.0</v>
      </c>
      <c r="J206" s="47" t="str">
        <f t="shared" si="1"/>
        <v>Bajo (1-4)</v>
      </c>
    </row>
    <row r="207">
      <c r="A207" s="23" t="s">
        <v>1048</v>
      </c>
      <c r="B207" s="24">
        <v>4.0</v>
      </c>
      <c r="C207" s="23" t="s">
        <v>1836</v>
      </c>
      <c r="D207" s="24">
        <v>30.0</v>
      </c>
      <c r="E207" s="23" t="s">
        <v>1837</v>
      </c>
      <c r="F207" s="24">
        <v>18.0</v>
      </c>
      <c r="G207" s="23" t="s">
        <v>1549</v>
      </c>
      <c r="H207" s="23" t="s">
        <v>1531</v>
      </c>
      <c r="I207" s="24">
        <v>15.0</v>
      </c>
      <c r="J207" s="47" t="str">
        <f t="shared" si="1"/>
        <v>Bajo (1-4)</v>
      </c>
    </row>
    <row r="208">
      <c r="A208" s="23" t="s">
        <v>1838</v>
      </c>
      <c r="B208" s="24">
        <v>3.0</v>
      </c>
      <c r="C208" s="23" t="s">
        <v>1839</v>
      </c>
      <c r="D208" s="24">
        <v>60.0</v>
      </c>
      <c r="E208" s="23" t="s">
        <v>1837</v>
      </c>
      <c r="F208" s="24">
        <v>18.0</v>
      </c>
      <c r="G208" s="23" t="s">
        <v>359</v>
      </c>
      <c r="H208" s="23" t="s">
        <v>1531</v>
      </c>
      <c r="I208" s="24">
        <v>15.0</v>
      </c>
      <c r="J208" s="47" t="str">
        <f t="shared" si="1"/>
        <v>Bajo (1-4)</v>
      </c>
    </row>
    <row r="209">
      <c r="A209" s="23" t="s">
        <v>1840</v>
      </c>
      <c r="B209" s="24">
        <v>4.0</v>
      </c>
      <c r="C209" s="23" t="s">
        <v>1841</v>
      </c>
      <c r="D209" s="24">
        <v>80.0</v>
      </c>
      <c r="E209" s="23" t="s">
        <v>1837</v>
      </c>
      <c r="F209" s="24">
        <v>18.0</v>
      </c>
      <c r="G209" s="23" t="s">
        <v>69</v>
      </c>
      <c r="H209" s="23" t="s">
        <v>1531</v>
      </c>
      <c r="I209" s="24">
        <v>15.0</v>
      </c>
      <c r="J209" s="47" t="str">
        <f t="shared" si="1"/>
        <v>Bajo (1-4)</v>
      </c>
    </row>
    <row r="210">
      <c r="A210" s="23" t="s">
        <v>1842</v>
      </c>
      <c r="B210" s="24">
        <v>4.0</v>
      </c>
      <c r="C210" s="23" t="s">
        <v>1836</v>
      </c>
      <c r="D210" s="24">
        <v>40.0</v>
      </c>
      <c r="E210" s="23" t="s">
        <v>1837</v>
      </c>
      <c r="F210" s="24">
        <v>18.0</v>
      </c>
      <c r="G210" s="23" t="s">
        <v>1530</v>
      </c>
      <c r="H210" s="23" t="s">
        <v>1531</v>
      </c>
      <c r="I210" s="24">
        <v>15.0</v>
      </c>
      <c r="J210" s="47" t="str">
        <f t="shared" si="1"/>
        <v>Bajo (1-4)</v>
      </c>
    </row>
    <row r="211">
      <c r="A211" s="23" t="s">
        <v>1843</v>
      </c>
      <c r="B211" s="24">
        <v>4.0</v>
      </c>
      <c r="C211" s="23" t="s">
        <v>1836</v>
      </c>
      <c r="D211" s="24">
        <v>30.0</v>
      </c>
      <c r="E211" s="23" t="s">
        <v>1837</v>
      </c>
      <c r="F211" s="24">
        <v>18.0</v>
      </c>
      <c r="G211" s="23" t="s">
        <v>1844</v>
      </c>
      <c r="H211" s="23" t="s">
        <v>1531</v>
      </c>
      <c r="I211" s="24">
        <v>15.0</v>
      </c>
      <c r="J211" s="47" t="str">
        <f t="shared" si="1"/>
        <v>Bajo (1-4)</v>
      </c>
    </row>
    <row r="212">
      <c r="A212" s="23" t="s">
        <v>1845</v>
      </c>
      <c r="B212" s="24">
        <v>4.0</v>
      </c>
      <c r="C212" s="23" t="s">
        <v>1846</v>
      </c>
      <c r="D212" s="24">
        <v>30.0</v>
      </c>
      <c r="E212" s="23" t="s">
        <v>1837</v>
      </c>
      <c r="F212" s="24">
        <v>18.0</v>
      </c>
      <c r="G212" s="23" t="s">
        <v>69</v>
      </c>
      <c r="H212" s="23" t="s">
        <v>1531</v>
      </c>
      <c r="I212" s="24">
        <v>15.0</v>
      </c>
      <c r="J212" s="47" t="str">
        <f t="shared" si="1"/>
        <v>Bajo (1-4)</v>
      </c>
    </row>
    <row r="213">
      <c r="A213" s="23" t="s">
        <v>1847</v>
      </c>
      <c r="B213" s="24">
        <v>4.0</v>
      </c>
      <c r="C213" s="23" t="s">
        <v>1848</v>
      </c>
      <c r="D213" s="24">
        <v>20.0</v>
      </c>
      <c r="E213" s="23" t="s">
        <v>1837</v>
      </c>
      <c r="F213" s="24">
        <v>18.0</v>
      </c>
      <c r="G213" s="23" t="s">
        <v>69</v>
      </c>
      <c r="H213" s="23" t="s">
        <v>1531</v>
      </c>
      <c r="I213" s="24">
        <v>15.0</v>
      </c>
      <c r="J213" s="47" t="str">
        <f t="shared" si="1"/>
        <v>Bajo (1-4)</v>
      </c>
    </row>
    <row r="214">
      <c r="A214" s="23" t="s">
        <v>1849</v>
      </c>
      <c r="B214" s="24">
        <v>3.0</v>
      </c>
      <c r="C214" s="23" t="s">
        <v>1850</v>
      </c>
      <c r="D214" s="24">
        <v>10.0</v>
      </c>
      <c r="E214" s="23" t="s">
        <v>1837</v>
      </c>
      <c r="F214" s="24">
        <v>18.0</v>
      </c>
      <c r="G214" s="23" t="s">
        <v>69</v>
      </c>
      <c r="H214" s="23" t="s">
        <v>1531</v>
      </c>
      <c r="I214" s="24">
        <v>15.0</v>
      </c>
      <c r="J214" s="47" t="str">
        <f t="shared" si="1"/>
        <v>Bajo (1-4)</v>
      </c>
    </row>
    <row r="215">
      <c r="A215" s="23" t="s">
        <v>1851</v>
      </c>
      <c r="B215" s="24">
        <v>4.0</v>
      </c>
      <c r="C215" s="23" t="s">
        <v>1852</v>
      </c>
      <c r="D215" s="24">
        <v>5.0</v>
      </c>
      <c r="E215" s="23" t="s">
        <v>1853</v>
      </c>
      <c r="F215" s="24">
        <v>18.0</v>
      </c>
      <c r="G215" s="23" t="s">
        <v>69</v>
      </c>
      <c r="H215" s="23" t="s">
        <v>1531</v>
      </c>
      <c r="I215" s="24">
        <v>10.0</v>
      </c>
      <c r="J215" s="47" t="str">
        <f t="shared" si="1"/>
        <v>Bajo (1-4)</v>
      </c>
    </row>
    <row r="216">
      <c r="A216" s="23" t="s">
        <v>1854</v>
      </c>
      <c r="B216" s="24">
        <v>5.0</v>
      </c>
      <c r="C216" s="23" t="s">
        <v>1855</v>
      </c>
      <c r="D216" s="24">
        <v>4.0</v>
      </c>
      <c r="E216" s="23" t="s">
        <v>1856</v>
      </c>
      <c r="F216" s="24">
        <v>18.0</v>
      </c>
      <c r="G216" s="23" t="s">
        <v>1744</v>
      </c>
      <c r="H216" s="23" t="s">
        <v>1531</v>
      </c>
      <c r="I216" s="24">
        <v>30.0</v>
      </c>
      <c r="J216" s="47" t="str">
        <f t="shared" si="1"/>
        <v>Medio (5-7)</v>
      </c>
    </row>
    <row r="217">
      <c r="A217" s="23" t="s">
        <v>1857</v>
      </c>
      <c r="B217" s="24">
        <v>5.0</v>
      </c>
      <c r="C217" s="23" t="s">
        <v>1858</v>
      </c>
      <c r="D217" s="24">
        <v>15.0</v>
      </c>
      <c r="E217" s="23" t="s">
        <v>1856</v>
      </c>
      <c r="F217" s="24">
        <v>18.0</v>
      </c>
      <c r="G217" s="23" t="s">
        <v>69</v>
      </c>
      <c r="H217" s="23" t="s">
        <v>1531</v>
      </c>
      <c r="I217" s="24">
        <v>30.0</v>
      </c>
      <c r="J217" s="47" t="str">
        <f t="shared" si="1"/>
        <v>Medio (5-7)</v>
      </c>
    </row>
    <row r="218">
      <c r="A218" s="23" t="s">
        <v>1859</v>
      </c>
      <c r="B218" s="24">
        <v>6.0</v>
      </c>
      <c r="C218" s="23" t="s">
        <v>1720</v>
      </c>
      <c r="D218" s="24">
        <v>50.0</v>
      </c>
      <c r="E218" s="23" t="s">
        <v>1856</v>
      </c>
      <c r="F218" s="24">
        <v>18.0</v>
      </c>
      <c r="G218" s="23" t="s">
        <v>1654</v>
      </c>
      <c r="H218" s="23" t="s">
        <v>1531</v>
      </c>
      <c r="I218" s="24">
        <v>30.0</v>
      </c>
      <c r="J218" s="47" t="str">
        <f t="shared" si="1"/>
        <v>Medio (5-7)</v>
      </c>
    </row>
    <row r="219">
      <c r="A219" s="23" t="s">
        <v>1860</v>
      </c>
      <c r="B219" s="24">
        <v>2.0</v>
      </c>
      <c r="C219" s="23" t="s">
        <v>1668</v>
      </c>
      <c r="D219" s="24">
        <v>1.0</v>
      </c>
      <c r="E219" s="23" t="s">
        <v>1856</v>
      </c>
      <c r="F219" s="24">
        <v>18.0</v>
      </c>
      <c r="G219" s="23" t="s">
        <v>45</v>
      </c>
      <c r="H219" s="23" t="s">
        <v>1531</v>
      </c>
      <c r="I219" s="24">
        <v>15.0</v>
      </c>
      <c r="J219" s="47" t="str">
        <f t="shared" si="1"/>
        <v>Bajo (1-4)</v>
      </c>
    </row>
    <row r="220">
      <c r="A220" s="23" t="s">
        <v>1861</v>
      </c>
      <c r="B220" s="24">
        <v>3.0</v>
      </c>
      <c r="C220" s="23" t="s">
        <v>1862</v>
      </c>
      <c r="D220" s="24">
        <v>10.0</v>
      </c>
      <c r="E220" s="23" t="s">
        <v>1863</v>
      </c>
      <c r="F220" s="24">
        <v>18.0</v>
      </c>
      <c r="G220" s="23" t="s">
        <v>1549</v>
      </c>
      <c r="H220" s="23" t="s">
        <v>1455</v>
      </c>
      <c r="I220" s="24">
        <v>10.0</v>
      </c>
      <c r="J220" s="47" t="str">
        <f t="shared" si="1"/>
        <v>Bajo (1-4)</v>
      </c>
    </row>
    <row r="221">
      <c r="A221" s="23" t="s">
        <v>1864</v>
      </c>
      <c r="B221" s="24">
        <v>4.0</v>
      </c>
      <c r="C221" s="23" t="s">
        <v>1865</v>
      </c>
      <c r="D221" s="24">
        <v>250.0</v>
      </c>
      <c r="E221" s="23" t="s">
        <v>1863</v>
      </c>
      <c r="F221" s="24">
        <v>18.0</v>
      </c>
      <c r="G221" s="23" t="s">
        <v>69</v>
      </c>
      <c r="H221" s="23" t="s">
        <v>1455</v>
      </c>
      <c r="I221" s="24">
        <v>10.0</v>
      </c>
      <c r="J221" s="47" t="str">
        <f t="shared" si="1"/>
        <v>Bajo (1-4)</v>
      </c>
    </row>
    <row r="222">
      <c r="A222" s="23" t="s">
        <v>1866</v>
      </c>
      <c r="B222" s="24">
        <v>3.0</v>
      </c>
      <c r="C222" s="23" t="s">
        <v>1867</v>
      </c>
      <c r="D222" s="24">
        <v>50.0</v>
      </c>
      <c r="E222" s="23" t="s">
        <v>1863</v>
      </c>
      <c r="F222" s="24">
        <v>18.0</v>
      </c>
      <c r="G222" s="23" t="s">
        <v>69</v>
      </c>
      <c r="H222" s="23" t="s">
        <v>1455</v>
      </c>
      <c r="I222" s="24">
        <v>10.0</v>
      </c>
      <c r="J222" s="47" t="str">
        <f t="shared" si="1"/>
        <v>Bajo (1-4)</v>
      </c>
    </row>
    <row r="223">
      <c r="A223" s="23" t="s">
        <v>1868</v>
      </c>
      <c r="B223" s="24">
        <v>4.0</v>
      </c>
      <c r="C223" s="23" t="s">
        <v>1869</v>
      </c>
      <c r="D223" s="24">
        <v>20.0</v>
      </c>
      <c r="E223" s="23" t="s">
        <v>1863</v>
      </c>
      <c r="F223" s="24">
        <v>18.0</v>
      </c>
      <c r="G223" s="23" t="s">
        <v>69</v>
      </c>
      <c r="H223" s="23" t="s">
        <v>1455</v>
      </c>
      <c r="I223" s="24">
        <v>10.0</v>
      </c>
      <c r="J223" s="47" t="str">
        <f t="shared" si="1"/>
        <v>Bajo (1-4)</v>
      </c>
    </row>
    <row r="224">
      <c r="A224" s="23" t="s">
        <v>1870</v>
      </c>
      <c r="B224" s="24">
        <v>2.0</v>
      </c>
      <c r="C224" s="23" t="s">
        <v>1668</v>
      </c>
      <c r="D224" s="24">
        <v>20.0</v>
      </c>
      <c r="E224" s="23" t="s">
        <v>1463</v>
      </c>
      <c r="F224" s="24">
        <v>18.0</v>
      </c>
      <c r="G224" s="23" t="s">
        <v>41</v>
      </c>
      <c r="H224" s="23" t="s">
        <v>1472</v>
      </c>
      <c r="I224" s="24">
        <v>10.0</v>
      </c>
      <c r="J224" s="47" t="str">
        <f t="shared" si="1"/>
        <v>Bajo (1-4)</v>
      </c>
    </row>
    <row r="225">
      <c r="A225" s="23" t="s">
        <v>1871</v>
      </c>
      <c r="B225" s="24">
        <v>2.0</v>
      </c>
      <c r="C225" s="23" t="s">
        <v>1872</v>
      </c>
      <c r="D225" s="24">
        <v>20.0</v>
      </c>
      <c r="E225" s="23" t="s">
        <v>1873</v>
      </c>
      <c r="F225" s="24">
        <v>18.0</v>
      </c>
      <c r="G225" s="23" t="s">
        <v>41</v>
      </c>
      <c r="H225" s="23" t="s">
        <v>1455</v>
      </c>
      <c r="I225" s="24">
        <v>15.0</v>
      </c>
      <c r="J225" s="47" t="str">
        <f t="shared" si="1"/>
        <v>Bajo (1-4)</v>
      </c>
    </row>
    <row r="226">
      <c r="A226" s="48" t="s">
        <v>1874</v>
      </c>
      <c r="B226" s="24">
        <v>3.0</v>
      </c>
      <c r="C226" s="23" t="s">
        <v>1875</v>
      </c>
      <c r="D226" s="24">
        <v>100.0</v>
      </c>
      <c r="E226" s="23" t="s">
        <v>1873</v>
      </c>
      <c r="F226" s="24">
        <v>13.0</v>
      </c>
      <c r="G226" s="23" t="s">
        <v>69</v>
      </c>
      <c r="H226" s="23" t="s">
        <v>1472</v>
      </c>
      <c r="I226" s="24">
        <v>15.0</v>
      </c>
      <c r="J226" s="47" t="str">
        <f t="shared" si="1"/>
        <v>Bajo (1-4)</v>
      </c>
    </row>
    <row r="227">
      <c r="A227" s="23" t="s">
        <v>1876</v>
      </c>
      <c r="B227" s="24">
        <v>1.0</v>
      </c>
      <c r="C227" s="23" t="s">
        <v>1668</v>
      </c>
      <c r="D227" s="24">
        <v>300.0</v>
      </c>
      <c r="E227" s="23" t="s">
        <v>1373</v>
      </c>
      <c r="F227" s="24">
        <v>13.0</v>
      </c>
      <c r="G227" s="23" t="s">
        <v>1654</v>
      </c>
      <c r="H227" s="23" t="s">
        <v>1807</v>
      </c>
      <c r="I227" s="24">
        <v>40.0</v>
      </c>
      <c r="J227" s="47" t="str">
        <f t="shared" si="1"/>
        <v>Bajo (1-4)</v>
      </c>
    </row>
    <row r="228">
      <c r="A228" s="23" t="s">
        <v>1877</v>
      </c>
      <c r="B228" s="24">
        <v>2.0</v>
      </c>
      <c r="C228" s="23" t="s">
        <v>1878</v>
      </c>
      <c r="D228" s="24">
        <v>100.0</v>
      </c>
      <c r="E228" s="23" t="s">
        <v>1373</v>
      </c>
      <c r="F228" s="24">
        <v>13.0</v>
      </c>
      <c r="G228" s="23" t="s">
        <v>69</v>
      </c>
      <c r="H228" s="23" t="s">
        <v>979</v>
      </c>
      <c r="I228" s="24">
        <v>40.0</v>
      </c>
      <c r="J228" s="47" t="str">
        <f t="shared" si="1"/>
        <v>Bajo (1-4)</v>
      </c>
    </row>
    <row r="229">
      <c r="A229" s="23" t="s">
        <v>1879</v>
      </c>
      <c r="B229" s="24">
        <v>1.0</v>
      </c>
      <c r="C229" s="23" t="s">
        <v>1668</v>
      </c>
      <c r="D229" s="24">
        <v>30.0</v>
      </c>
      <c r="E229" s="23" t="s">
        <v>1373</v>
      </c>
      <c r="F229" s="24">
        <v>13.0</v>
      </c>
      <c r="G229" s="23" t="s">
        <v>69</v>
      </c>
      <c r="H229" s="23" t="s">
        <v>979</v>
      </c>
      <c r="I229" s="24">
        <v>40.0</v>
      </c>
      <c r="J229" s="47" t="str">
        <f t="shared" si="1"/>
        <v>Bajo (1-4)</v>
      </c>
    </row>
    <row r="230">
      <c r="A230" s="23" t="s">
        <v>1880</v>
      </c>
      <c r="B230" s="24">
        <v>1.0</v>
      </c>
      <c r="C230" s="23" t="s">
        <v>1668</v>
      </c>
      <c r="D230" s="24">
        <v>100.0</v>
      </c>
      <c r="E230" s="23" t="s">
        <v>1873</v>
      </c>
      <c r="F230" s="24">
        <v>13.0</v>
      </c>
      <c r="G230" s="23" t="s">
        <v>69</v>
      </c>
      <c r="H230" s="23" t="s">
        <v>1461</v>
      </c>
      <c r="I230" s="24">
        <v>20.0</v>
      </c>
      <c r="J230" s="47" t="str">
        <f t="shared" si="1"/>
        <v>Bajo (1-4)</v>
      </c>
    </row>
    <row r="231">
      <c r="A231" s="23" t="s">
        <v>1881</v>
      </c>
      <c r="B231" s="24">
        <v>1.0</v>
      </c>
      <c r="C231" s="23" t="s">
        <v>1668</v>
      </c>
      <c r="D231" s="24">
        <v>5.0</v>
      </c>
      <c r="E231" s="23" t="s">
        <v>1873</v>
      </c>
      <c r="F231" s="24">
        <v>13.0</v>
      </c>
      <c r="G231" s="23" t="s">
        <v>69</v>
      </c>
      <c r="H231" s="23" t="s">
        <v>1807</v>
      </c>
      <c r="I231" s="24">
        <v>10.0</v>
      </c>
      <c r="J231" s="47" t="str">
        <f t="shared" si="1"/>
        <v>Bajo (1-4)</v>
      </c>
    </row>
    <row r="232">
      <c r="A232" s="23" t="s">
        <v>1882</v>
      </c>
      <c r="B232" s="24">
        <v>2.0</v>
      </c>
      <c r="C232" s="23" t="s">
        <v>1883</v>
      </c>
      <c r="D232" s="24">
        <v>6.0</v>
      </c>
      <c r="E232" s="23" t="s">
        <v>1873</v>
      </c>
      <c r="F232" s="24">
        <v>13.0</v>
      </c>
      <c r="G232" s="23" t="s">
        <v>1530</v>
      </c>
      <c r="H232" s="23" t="s">
        <v>1472</v>
      </c>
      <c r="I232" s="24">
        <v>10.0</v>
      </c>
      <c r="J232" s="47" t="str">
        <f t="shared" si="1"/>
        <v>Bajo (1-4)</v>
      </c>
    </row>
    <row r="233">
      <c r="A233" s="23" t="s">
        <v>1884</v>
      </c>
      <c r="B233" s="24">
        <v>2.0</v>
      </c>
      <c r="C233" s="23" t="s">
        <v>1668</v>
      </c>
      <c r="D233" s="24">
        <v>10.0</v>
      </c>
      <c r="E233" s="23" t="s">
        <v>1873</v>
      </c>
      <c r="F233" s="24">
        <v>13.0</v>
      </c>
      <c r="G233" s="23" t="s">
        <v>1530</v>
      </c>
      <c r="H233" s="23" t="s">
        <v>1472</v>
      </c>
      <c r="I233" s="24">
        <v>30.0</v>
      </c>
      <c r="J233" s="47" t="str">
        <f t="shared" si="1"/>
        <v>Bajo (1-4)</v>
      </c>
    </row>
    <row r="234">
      <c r="A234" s="23" t="s">
        <v>1885</v>
      </c>
      <c r="B234" s="24">
        <v>1.0</v>
      </c>
      <c r="C234" s="23" t="s">
        <v>1668</v>
      </c>
      <c r="D234" s="24">
        <v>10.0</v>
      </c>
      <c r="E234" s="23" t="s">
        <v>1873</v>
      </c>
      <c r="F234" s="24">
        <v>13.0</v>
      </c>
      <c r="G234" s="23" t="s">
        <v>69</v>
      </c>
      <c r="H234" s="23" t="s">
        <v>1472</v>
      </c>
      <c r="I234" s="24">
        <v>10.0</v>
      </c>
      <c r="J234" s="47" t="str">
        <f t="shared" si="1"/>
        <v>Bajo (1-4)</v>
      </c>
    </row>
    <row r="235">
      <c r="A235" s="23" t="s">
        <v>1886</v>
      </c>
      <c r="B235" s="24">
        <v>1.0</v>
      </c>
      <c r="C235" s="23" t="s">
        <v>1668</v>
      </c>
      <c r="D235" s="24">
        <v>100.0</v>
      </c>
      <c r="E235" s="23" t="s">
        <v>1373</v>
      </c>
      <c r="F235" s="24">
        <v>10.0</v>
      </c>
      <c r="G235" s="23" t="s">
        <v>1887</v>
      </c>
      <c r="H235" s="23" t="s">
        <v>1461</v>
      </c>
      <c r="I235" s="24">
        <v>20.0</v>
      </c>
      <c r="J235" s="47" t="str">
        <f t="shared" si="1"/>
        <v>Bajo (1-4)</v>
      </c>
    </row>
    <row r="236">
      <c r="A236" s="23" t="s">
        <v>1888</v>
      </c>
      <c r="B236" s="24">
        <v>1.0</v>
      </c>
      <c r="C236" s="23" t="s">
        <v>1668</v>
      </c>
      <c r="D236" s="24">
        <v>50.0</v>
      </c>
      <c r="E236" s="23" t="s">
        <v>1373</v>
      </c>
      <c r="F236" s="24">
        <v>10.0</v>
      </c>
      <c r="G236" s="23" t="s">
        <v>69</v>
      </c>
      <c r="H236" s="23" t="s">
        <v>1461</v>
      </c>
      <c r="I236" s="24">
        <v>20.0</v>
      </c>
      <c r="J236" s="47" t="str">
        <f t="shared" si="1"/>
        <v>Bajo (1-4)</v>
      </c>
    </row>
    <row r="237">
      <c r="A237" s="23" t="s">
        <v>1889</v>
      </c>
      <c r="B237" s="24">
        <v>2.0</v>
      </c>
      <c r="C237" s="23" t="s">
        <v>1890</v>
      </c>
      <c r="D237" s="24">
        <v>80.0</v>
      </c>
      <c r="E237" s="23" t="s">
        <v>1373</v>
      </c>
      <c r="F237" s="24">
        <v>8.0</v>
      </c>
      <c r="G237" s="23" t="s">
        <v>69</v>
      </c>
      <c r="H237" s="23" t="s">
        <v>1461</v>
      </c>
      <c r="I237" s="24">
        <v>40.0</v>
      </c>
      <c r="J237" s="47" t="str">
        <f t="shared" si="1"/>
        <v>Bajo (1-4)</v>
      </c>
    </row>
    <row r="238">
      <c r="A238" s="48" t="s">
        <v>1891</v>
      </c>
      <c r="B238" s="24">
        <v>1.0</v>
      </c>
      <c r="C238" s="23" t="s">
        <v>1668</v>
      </c>
      <c r="D238" s="24">
        <v>50.0</v>
      </c>
      <c r="E238" s="23" t="s">
        <v>1373</v>
      </c>
      <c r="F238" s="24">
        <v>6.0</v>
      </c>
      <c r="G238" s="23" t="s">
        <v>69</v>
      </c>
      <c r="H238" s="23" t="s">
        <v>1461</v>
      </c>
      <c r="I238" s="24">
        <v>30.0</v>
      </c>
      <c r="J238" s="47" t="str">
        <f t="shared" si="1"/>
        <v>Bajo (1-4)</v>
      </c>
    </row>
    <row r="239">
      <c r="A239" s="23" t="s">
        <v>1892</v>
      </c>
      <c r="B239" s="24">
        <v>1.0</v>
      </c>
      <c r="C239" s="23" t="s">
        <v>1668</v>
      </c>
      <c r="D239" s="24">
        <v>50.0</v>
      </c>
      <c r="E239" s="23" t="s">
        <v>1373</v>
      </c>
      <c r="F239" s="24">
        <v>13.0</v>
      </c>
      <c r="G239" s="23" t="s">
        <v>69</v>
      </c>
      <c r="H239" s="23" t="s">
        <v>1472</v>
      </c>
      <c r="I239" s="24">
        <v>30.0</v>
      </c>
      <c r="J239" s="47" t="str">
        <f t="shared" si="1"/>
        <v>Bajo (1-4)</v>
      </c>
    </row>
    <row r="240">
      <c r="A240" s="23" t="s">
        <v>1893</v>
      </c>
      <c r="B240" s="24">
        <v>1.0</v>
      </c>
      <c r="C240" s="23" t="s">
        <v>1668</v>
      </c>
      <c r="D240" s="24">
        <v>10.0</v>
      </c>
      <c r="E240" s="23" t="s">
        <v>1373</v>
      </c>
      <c r="F240" s="24">
        <v>13.0</v>
      </c>
      <c r="G240" s="23" t="s">
        <v>69</v>
      </c>
      <c r="H240" s="23" t="s">
        <v>1464</v>
      </c>
      <c r="I240" s="24">
        <v>30.0</v>
      </c>
      <c r="J240" s="47" t="str">
        <f t="shared" si="1"/>
        <v>Bajo (1-4)</v>
      </c>
    </row>
    <row r="241">
      <c r="A241" s="23" t="s">
        <v>1894</v>
      </c>
      <c r="B241" s="24">
        <v>2.0</v>
      </c>
      <c r="C241" s="23" t="s">
        <v>1895</v>
      </c>
      <c r="D241" s="24">
        <v>8.0</v>
      </c>
      <c r="E241" s="23" t="s">
        <v>1373</v>
      </c>
      <c r="F241" s="24">
        <v>13.0</v>
      </c>
      <c r="G241" s="23" t="s">
        <v>1549</v>
      </c>
      <c r="H241" s="23" t="s">
        <v>1664</v>
      </c>
      <c r="I241" s="24">
        <v>20.0</v>
      </c>
      <c r="J241" s="47" t="str">
        <f t="shared" si="1"/>
        <v>Bajo (1-4)</v>
      </c>
    </row>
    <row r="242">
      <c r="A242" s="23" t="s">
        <v>1896</v>
      </c>
      <c r="B242" s="24">
        <v>2.0</v>
      </c>
      <c r="C242" s="23" t="s">
        <v>1895</v>
      </c>
      <c r="D242" s="24">
        <v>6.0</v>
      </c>
      <c r="E242" s="23" t="s">
        <v>1373</v>
      </c>
      <c r="F242" s="24">
        <v>13.0</v>
      </c>
      <c r="G242" s="23" t="s">
        <v>1897</v>
      </c>
      <c r="H242" s="23" t="s">
        <v>1664</v>
      </c>
      <c r="I242" s="24">
        <v>20.0</v>
      </c>
      <c r="J242" s="47" t="str">
        <f t="shared" si="1"/>
        <v>Bajo (1-4)</v>
      </c>
    </row>
    <row r="243">
      <c r="A243" s="23" t="s">
        <v>1898</v>
      </c>
      <c r="B243" s="24">
        <v>2.0</v>
      </c>
      <c r="C243" s="23" t="s">
        <v>1668</v>
      </c>
      <c r="D243" s="24">
        <v>4.0</v>
      </c>
      <c r="E243" s="23" t="s">
        <v>1373</v>
      </c>
      <c r="F243" s="24">
        <v>13.0</v>
      </c>
      <c r="G243" s="23" t="s">
        <v>1844</v>
      </c>
      <c r="H243" s="23" t="s">
        <v>1464</v>
      </c>
      <c r="I243" s="24">
        <v>30.0</v>
      </c>
      <c r="J243" s="47" t="str">
        <f t="shared" si="1"/>
        <v>Bajo (1-4)</v>
      </c>
    </row>
    <row r="244">
      <c r="A244" s="23" t="s">
        <v>1899</v>
      </c>
      <c r="B244" s="24">
        <v>1.0</v>
      </c>
      <c r="C244" s="23" t="s">
        <v>1688</v>
      </c>
      <c r="D244" s="24">
        <v>2.0</v>
      </c>
      <c r="E244" s="23" t="s">
        <v>1373</v>
      </c>
      <c r="F244" s="24">
        <v>13.0</v>
      </c>
      <c r="G244" s="23" t="s">
        <v>69</v>
      </c>
      <c r="H244" s="23" t="s">
        <v>1464</v>
      </c>
      <c r="I244" s="24">
        <v>20.0</v>
      </c>
      <c r="J244" s="47" t="str">
        <f t="shared" si="1"/>
        <v>Bajo (1-4)</v>
      </c>
    </row>
    <row r="245">
      <c r="A245" s="23" t="s">
        <v>1900</v>
      </c>
      <c r="B245" s="24">
        <v>1.0</v>
      </c>
      <c r="C245" s="23" t="s">
        <v>1668</v>
      </c>
      <c r="D245" s="24">
        <v>50.0</v>
      </c>
      <c r="E245" s="23" t="s">
        <v>1373</v>
      </c>
      <c r="F245" s="24">
        <v>13.0</v>
      </c>
      <c r="G245" s="23" t="s">
        <v>69</v>
      </c>
      <c r="H245" s="23" t="s">
        <v>1461</v>
      </c>
      <c r="I245" s="24">
        <v>15.0</v>
      </c>
      <c r="J245" s="47" t="str">
        <f t="shared" si="1"/>
        <v>Bajo (1-4)</v>
      </c>
    </row>
    <row r="246">
      <c r="A246" s="23" t="s">
        <v>1376</v>
      </c>
      <c r="B246" s="24">
        <v>1.0</v>
      </c>
      <c r="C246" s="23" t="s">
        <v>1668</v>
      </c>
      <c r="D246" s="24">
        <v>130.0</v>
      </c>
      <c r="E246" s="23" t="s">
        <v>1373</v>
      </c>
      <c r="F246" s="24">
        <v>6.0</v>
      </c>
      <c r="G246" s="23" t="s">
        <v>69</v>
      </c>
      <c r="H246" s="23" t="s">
        <v>1461</v>
      </c>
      <c r="I246" s="24">
        <v>30.0</v>
      </c>
      <c r="J246" s="47" t="str">
        <f t="shared" si="1"/>
        <v>Bajo (1-4)</v>
      </c>
    </row>
    <row r="247">
      <c r="A247" s="23" t="s">
        <v>433</v>
      </c>
      <c r="B247" s="24">
        <v>1.0</v>
      </c>
      <c r="C247" s="23" t="s">
        <v>1901</v>
      </c>
      <c r="D247" s="24">
        <v>2000.0</v>
      </c>
      <c r="E247" s="23" t="s">
        <v>1373</v>
      </c>
      <c r="F247" s="24">
        <v>10.0</v>
      </c>
      <c r="G247" s="23" t="s">
        <v>69</v>
      </c>
      <c r="H247" s="23" t="s">
        <v>1514</v>
      </c>
      <c r="I247" s="24">
        <v>10.0</v>
      </c>
      <c r="J247" s="47" t="str">
        <f t="shared" si="1"/>
        <v>Bajo (1-4)</v>
      </c>
    </row>
    <row r="248">
      <c r="A248" s="23" t="s">
        <v>1902</v>
      </c>
      <c r="B248" s="24">
        <v>2.0</v>
      </c>
      <c r="C248" s="23" t="s">
        <v>1903</v>
      </c>
      <c r="D248" s="24">
        <v>200.0</v>
      </c>
      <c r="E248" s="23" t="s">
        <v>1904</v>
      </c>
      <c r="F248" s="24">
        <v>13.0</v>
      </c>
      <c r="G248" s="23" t="s">
        <v>69</v>
      </c>
      <c r="H248" s="23" t="s">
        <v>1455</v>
      </c>
      <c r="I248" s="24">
        <v>5.0</v>
      </c>
      <c r="J248" s="47" t="str">
        <f t="shared" si="1"/>
        <v>Bajo (1-4)</v>
      </c>
    </row>
    <row r="249">
      <c r="A249" s="23" t="s">
        <v>1905</v>
      </c>
      <c r="B249" s="24">
        <v>3.0</v>
      </c>
      <c r="C249" s="23" t="s">
        <v>1906</v>
      </c>
      <c r="D249" s="24">
        <v>50.0</v>
      </c>
      <c r="E249" s="23" t="s">
        <v>1904</v>
      </c>
      <c r="F249" s="24">
        <v>13.0</v>
      </c>
      <c r="G249" s="23" t="s">
        <v>69</v>
      </c>
      <c r="H249" s="23" t="s">
        <v>1455</v>
      </c>
      <c r="I249" s="24">
        <v>5.0</v>
      </c>
      <c r="J249" s="47" t="str">
        <f t="shared" si="1"/>
        <v>Bajo (1-4)</v>
      </c>
    </row>
    <row r="250">
      <c r="A250" s="23" t="s">
        <v>1907</v>
      </c>
      <c r="B250" s="24">
        <v>3.0</v>
      </c>
      <c r="C250" s="23" t="s">
        <v>1906</v>
      </c>
      <c r="D250" s="24">
        <v>30.0</v>
      </c>
      <c r="E250" s="23" t="s">
        <v>1904</v>
      </c>
      <c r="F250" s="24">
        <v>13.0</v>
      </c>
      <c r="G250" s="23" t="s">
        <v>69</v>
      </c>
      <c r="H250" s="23" t="s">
        <v>1455</v>
      </c>
      <c r="I250" s="24">
        <v>5.0</v>
      </c>
      <c r="J250" s="47" t="str">
        <f t="shared" si="1"/>
        <v>Bajo (1-4)</v>
      </c>
    </row>
    <row r="251">
      <c r="A251" s="23" t="s">
        <v>1908</v>
      </c>
      <c r="B251" s="24">
        <v>5.0</v>
      </c>
      <c r="C251" s="23" t="s">
        <v>1909</v>
      </c>
      <c r="D251" s="24">
        <v>300.0</v>
      </c>
      <c r="E251" s="23" t="s">
        <v>866</v>
      </c>
      <c r="F251" s="24">
        <v>13.0</v>
      </c>
      <c r="G251" s="23" t="s">
        <v>69</v>
      </c>
      <c r="H251" s="23" t="s">
        <v>1455</v>
      </c>
      <c r="I251" s="24">
        <v>10.0</v>
      </c>
      <c r="J251" s="47" t="str">
        <f t="shared" si="1"/>
        <v>Medio (5-7)</v>
      </c>
    </row>
    <row r="252">
      <c r="A252" s="23" t="s">
        <v>1910</v>
      </c>
      <c r="B252" s="24">
        <v>3.0</v>
      </c>
      <c r="C252" s="23" t="s">
        <v>1911</v>
      </c>
      <c r="D252" s="24">
        <v>100.0</v>
      </c>
      <c r="E252" s="23" t="s">
        <v>1481</v>
      </c>
      <c r="F252" s="24">
        <v>13.0</v>
      </c>
      <c r="G252" s="23" t="s">
        <v>69</v>
      </c>
      <c r="H252" s="23" t="s">
        <v>1455</v>
      </c>
      <c r="I252" s="24">
        <v>5.0</v>
      </c>
      <c r="J252" s="47" t="str">
        <f t="shared" si="1"/>
        <v>Bajo (1-4)</v>
      </c>
    </row>
    <row r="253">
      <c r="A253" s="23" t="s">
        <v>1912</v>
      </c>
      <c r="B253" s="24">
        <v>2.0</v>
      </c>
      <c r="C253" s="23" t="s">
        <v>1850</v>
      </c>
      <c r="D253" s="24">
        <v>10.0</v>
      </c>
      <c r="E253" s="23" t="s">
        <v>1481</v>
      </c>
      <c r="F253" s="24">
        <v>13.0</v>
      </c>
      <c r="G253" s="23" t="s">
        <v>69</v>
      </c>
      <c r="H253" s="23" t="s">
        <v>1531</v>
      </c>
      <c r="I253" s="24">
        <v>10.0</v>
      </c>
      <c r="J253" s="47" t="str">
        <f t="shared" si="1"/>
        <v>Bajo (1-4)</v>
      </c>
      <c r="M253" s="44"/>
    </row>
    <row r="254">
      <c r="A254" s="23" t="s">
        <v>1913</v>
      </c>
      <c r="B254" s="24">
        <v>1.0</v>
      </c>
      <c r="C254" s="23" t="s">
        <v>1668</v>
      </c>
      <c r="D254" s="24">
        <v>5.0</v>
      </c>
      <c r="E254" s="23" t="s">
        <v>1481</v>
      </c>
      <c r="F254" s="24">
        <v>13.0</v>
      </c>
      <c r="G254" s="23" t="s">
        <v>69</v>
      </c>
      <c r="H254" s="23" t="s">
        <v>1531</v>
      </c>
      <c r="I254" s="24">
        <v>10.0</v>
      </c>
      <c r="J254" s="47" t="str">
        <f t="shared" si="1"/>
        <v>Bajo (1-4)</v>
      </c>
    </row>
    <row r="255">
      <c r="A255" s="48" t="s">
        <v>1914</v>
      </c>
      <c r="B255" s="24">
        <v>2.0</v>
      </c>
      <c r="C255" s="23" t="s">
        <v>1668</v>
      </c>
      <c r="D255" s="24">
        <v>40.0</v>
      </c>
      <c r="E255" s="23" t="s">
        <v>1481</v>
      </c>
      <c r="F255" s="24">
        <v>13.0</v>
      </c>
      <c r="G255" s="23" t="s">
        <v>1530</v>
      </c>
      <c r="H255" s="23" t="s">
        <v>1455</v>
      </c>
      <c r="I255" s="24">
        <v>5.0</v>
      </c>
      <c r="J255" s="47" t="str">
        <f t="shared" si="1"/>
        <v>Bajo (1-4)</v>
      </c>
    </row>
    <row r="256">
      <c r="A256" s="23" t="s">
        <v>1915</v>
      </c>
      <c r="B256" s="24">
        <v>6.0</v>
      </c>
      <c r="C256" s="23" t="s">
        <v>1916</v>
      </c>
      <c r="D256" s="24">
        <v>150.0</v>
      </c>
      <c r="E256" s="23" t="s">
        <v>1917</v>
      </c>
      <c r="F256" s="24">
        <v>13.0</v>
      </c>
      <c r="G256" s="23" t="s">
        <v>1918</v>
      </c>
      <c r="H256" s="23" t="s">
        <v>1455</v>
      </c>
      <c r="I256" s="24">
        <v>20.0</v>
      </c>
      <c r="J256" s="47" t="str">
        <f t="shared" si="1"/>
        <v>Medio (5-7)</v>
      </c>
    </row>
    <row r="257">
      <c r="A257" s="23" t="s">
        <v>1919</v>
      </c>
      <c r="B257" s="24">
        <v>5.0</v>
      </c>
      <c r="C257" s="23" t="s">
        <v>1920</v>
      </c>
      <c r="D257" s="24">
        <v>250.0</v>
      </c>
      <c r="E257" s="23" t="s">
        <v>1457</v>
      </c>
      <c r="F257" s="24">
        <v>13.0</v>
      </c>
      <c r="G257" s="23" t="s">
        <v>69</v>
      </c>
      <c r="H257" s="23" t="s">
        <v>1455</v>
      </c>
      <c r="I257" s="24">
        <v>10.0</v>
      </c>
      <c r="J257" s="47" t="str">
        <f t="shared" si="1"/>
        <v>Medio (5-7)</v>
      </c>
    </row>
    <row r="258">
      <c r="A258" s="23" t="s">
        <v>1921</v>
      </c>
      <c r="B258" s="24">
        <v>2.0</v>
      </c>
      <c r="C258" s="23" t="s">
        <v>1668</v>
      </c>
      <c r="D258" s="24">
        <v>500.0</v>
      </c>
      <c r="E258" s="23" t="s">
        <v>1457</v>
      </c>
      <c r="F258" s="24">
        <v>13.0</v>
      </c>
      <c r="G258" s="23" t="s">
        <v>69</v>
      </c>
      <c r="H258" s="23" t="s">
        <v>1461</v>
      </c>
      <c r="I258" s="24">
        <v>1.0</v>
      </c>
      <c r="J258" s="47" t="str">
        <f t="shared" si="1"/>
        <v>Bajo (1-4)</v>
      </c>
    </row>
    <row r="259">
      <c r="A259" s="23" t="s">
        <v>1922</v>
      </c>
      <c r="B259" s="24">
        <v>2.0</v>
      </c>
      <c r="C259" s="23" t="s">
        <v>1668</v>
      </c>
      <c r="D259" s="24">
        <v>300.0</v>
      </c>
      <c r="E259" s="23" t="s">
        <v>1457</v>
      </c>
      <c r="F259" s="24">
        <v>13.0</v>
      </c>
      <c r="G259" s="23" t="s">
        <v>69</v>
      </c>
      <c r="H259" s="23" t="s">
        <v>1461</v>
      </c>
      <c r="I259" s="24">
        <v>1.0</v>
      </c>
      <c r="J259" s="47" t="str">
        <f t="shared" si="1"/>
        <v>Bajo (1-4)</v>
      </c>
    </row>
    <row r="260">
      <c r="A260" s="23" t="s">
        <v>1923</v>
      </c>
      <c r="B260" s="24">
        <v>1.0</v>
      </c>
      <c r="C260" s="23" t="s">
        <v>1668</v>
      </c>
      <c r="D260" s="24">
        <v>300.0</v>
      </c>
      <c r="E260" s="23" t="s">
        <v>141</v>
      </c>
      <c r="F260" s="24" t="s">
        <v>796</v>
      </c>
      <c r="G260" s="23" t="s">
        <v>45</v>
      </c>
      <c r="H260" s="23" t="s">
        <v>1807</v>
      </c>
      <c r="I260" s="24">
        <v>40.0</v>
      </c>
      <c r="J260" s="47" t="str">
        <f t="shared" si="1"/>
        <v>Bajo (1-4)</v>
      </c>
    </row>
    <row r="261">
      <c r="A261" s="23" t="s">
        <v>1924</v>
      </c>
      <c r="B261" s="24">
        <v>1.0</v>
      </c>
      <c r="C261" s="23" t="s">
        <v>1668</v>
      </c>
      <c r="D261" s="24">
        <v>500.0</v>
      </c>
      <c r="E261" s="23" t="s">
        <v>141</v>
      </c>
      <c r="F261" s="24" t="s">
        <v>796</v>
      </c>
      <c r="G261" s="23" t="s">
        <v>41</v>
      </c>
      <c r="H261" s="23" t="s">
        <v>1925</v>
      </c>
      <c r="I261" s="24">
        <v>5.0</v>
      </c>
      <c r="J261" s="47" t="str">
        <f t="shared" si="1"/>
        <v>Bajo (1-4)</v>
      </c>
    </row>
    <row r="262">
      <c r="A262" s="23" t="s">
        <v>1926</v>
      </c>
      <c r="B262" s="24">
        <v>1.0</v>
      </c>
      <c r="C262" s="23" t="s">
        <v>1668</v>
      </c>
      <c r="D262" s="24">
        <v>100.0</v>
      </c>
      <c r="E262" s="23" t="s">
        <v>141</v>
      </c>
      <c r="F262" s="24" t="s">
        <v>796</v>
      </c>
      <c r="G262" s="23" t="s">
        <v>1512</v>
      </c>
      <c r="H262" s="23" t="s">
        <v>1807</v>
      </c>
      <c r="I262" s="24">
        <v>5.0</v>
      </c>
      <c r="J262" s="47" t="str">
        <f t="shared" si="1"/>
        <v>Bajo (1-4)</v>
      </c>
    </row>
    <row r="263">
      <c r="A263" s="23" t="s">
        <v>1927</v>
      </c>
      <c r="B263" s="24">
        <v>1.0</v>
      </c>
      <c r="C263" s="23" t="s">
        <v>1668</v>
      </c>
      <c r="D263" s="24">
        <v>50.0</v>
      </c>
      <c r="E263" s="23" t="s">
        <v>141</v>
      </c>
      <c r="F263" s="24" t="s">
        <v>796</v>
      </c>
      <c r="G263" s="23" t="s">
        <v>69</v>
      </c>
      <c r="H263" s="23" t="s">
        <v>1807</v>
      </c>
      <c r="I263" s="24">
        <v>60.0</v>
      </c>
      <c r="J263" s="47" t="str">
        <f t="shared" si="1"/>
        <v>Bajo (1-4)</v>
      </c>
    </row>
    <row r="264">
      <c r="A264" s="23" t="s">
        <v>1928</v>
      </c>
      <c r="B264" s="24">
        <v>1.0</v>
      </c>
      <c r="C264" s="23" t="s">
        <v>1929</v>
      </c>
      <c r="D264" s="24">
        <v>10.0</v>
      </c>
      <c r="E264" s="23" t="s">
        <v>1383</v>
      </c>
      <c r="F264" s="24" t="s">
        <v>796</v>
      </c>
      <c r="G264" s="23" t="s">
        <v>359</v>
      </c>
      <c r="H264" s="23" t="s">
        <v>1807</v>
      </c>
      <c r="I264" s="24">
        <v>120.0</v>
      </c>
      <c r="J264" s="47" t="str">
        <f t="shared" si="1"/>
        <v>Bajo (1-4)</v>
      </c>
    </row>
    <row r="265">
      <c r="A265" s="23" t="s">
        <v>1930</v>
      </c>
      <c r="B265" s="24">
        <v>2.0</v>
      </c>
      <c r="C265" s="23" t="s">
        <v>1931</v>
      </c>
      <c r="D265" s="24">
        <v>5.0</v>
      </c>
      <c r="E265" s="23" t="s">
        <v>1659</v>
      </c>
      <c r="F265" s="24">
        <v>13.0</v>
      </c>
      <c r="G265" s="23" t="s">
        <v>69</v>
      </c>
      <c r="H265" s="23" t="s">
        <v>1472</v>
      </c>
      <c r="I265" s="24">
        <v>120.0</v>
      </c>
      <c r="J265" s="47" t="str">
        <f t="shared" si="1"/>
        <v>Bajo (1-4)</v>
      </c>
    </row>
    <row r="266">
      <c r="A266" s="23" t="s">
        <v>1932</v>
      </c>
      <c r="B266" s="24">
        <v>2.0</v>
      </c>
      <c r="C266" s="23" t="s">
        <v>1668</v>
      </c>
      <c r="D266" s="24">
        <v>7.0</v>
      </c>
      <c r="E266" s="23" t="s">
        <v>1659</v>
      </c>
      <c r="F266" s="24">
        <v>13.0</v>
      </c>
      <c r="G266" s="23" t="s">
        <v>69</v>
      </c>
      <c r="H266" s="23" t="s">
        <v>1472</v>
      </c>
      <c r="I266" s="24">
        <v>120.0</v>
      </c>
      <c r="J266" s="47" t="str">
        <f t="shared" si="1"/>
        <v>Bajo (1-4)</v>
      </c>
    </row>
    <row r="267">
      <c r="A267" s="23" t="s">
        <v>1933</v>
      </c>
      <c r="B267" s="24">
        <v>1.0</v>
      </c>
      <c r="C267" s="23" t="s">
        <v>1668</v>
      </c>
      <c r="D267" s="24">
        <v>1.0</v>
      </c>
      <c r="E267" s="23" t="s">
        <v>1659</v>
      </c>
      <c r="F267" s="24">
        <v>13.0</v>
      </c>
      <c r="G267" s="23" t="s">
        <v>1934</v>
      </c>
      <c r="H267" s="23" t="s">
        <v>1807</v>
      </c>
      <c r="I267" s="24">
        <v>120.0</v>
      </c>
      <c r="J267" s="47" t="str">
        <f t="shared" si="1"/>
        <v>Bajo (1-4)</v>
      </c>
    </row>
    <row r="268">
      <c r="A268" s="23" t="s">
        <v>507</v>
      </c>
      <c r="B268" s="24">
        <v>1.0</v>
      </c>
      <c r="C268" s="23" t="s">
        <v>1668</v>
      </c>
      <c r="D268" s="24">
        <v>40.0</v>
      </c>
      <c r="E268" s="23" t="s">
        <v>148</v>
      </c>
      <c r="F268" s="24">
        <v>10.0</v>
      </c>
      <c r="G268" s="23" t="s">
        <v>1530</v>
      </c>
      <c r="H268" s="23" t="s">
        <v>1537</v>
      </c>
      <c r="I268" s="24">
        <v>60.0</v>
      </c>
      <c r="J268" s="47" t="str">
        <f t="shared" si="1"/>
        <v>Bajo (1-4)</v>
      </c>
    </row>
    <row r="269">
      <c r="A269" s="23" t="s">
        <v>1935</v>
      </c>
      <c r="B269" s="24">
        <v>1.0</v>
      </c>
      <c r="C269" s="23" t="s">
        <v>1668</v>
      </c>
      <c r="D269" s="24">
        <v>30.0</v>
      </c>
      <c r="E269" s="23" t="s">
        <v>148</v>
      </c>
      <c r="F269" s="24">
        <v>10.0</v>
      </c>
      <c r="G269" s="23" t="s">
        <v>1936</v>
      </c>
      <c r="H269" s="23" t="s">
        <v>1537</v>
      </c>
      <c r="I269" s="24">
        <v>60.0</v>
      </c>
      <c r="J269" s="47" t="str">
        <f t="shared" si="1"/>
        <v>Bajo (1-4)</v>
      </c>
    </row>
    <row r="270">
      <c r="B270" s="44"/>
      <c r="D270" s="44"/>
      <c r="F270" s="44"/>
      <c r="I270" s="44"/>
    </row>
    <row r="271">
      <c r="B271" s="44"/>
      <c r="D271" s="44"/>
      <c r="F271" s="44"/>
      <c r="I271" s="44"/>
    </row>
    <row r="272">
      <c r="B272" s="44"/>
      <c r="D272" s="44">
        <f>SUM(D2:D269)</f>
        <v>54942</v>
      </c>
      <c r="F272" s="44"/>
      <c r="I272" s="44"/>
    </row>
    <row r="273">
      <c r="B273" s="44"/>
      <c r="D273" s="44"/>
      <c r="F273" s="44"/>
      <c r="I273" s="44"/>
    </row>
    <row r="274">
      <c r="B274" s="44"/>
      <c r="D274" s="44"/>
      <c r="F274" s="44"/>
      <c r="I274" s="44"/>
    </row>
    <row r="275">
      <c r="B275" s="44"/>
      <c r="D275" s="44"/>
      <c r="F275" s="44"/>
      <c r="I275" s="44"/>
    </row>
  </sheetData>
  <customSheetViews>
    <customSheetView guid="{E41A0FDF-88F5-4500-B78C-CC8257FD3744}" filter="1" showAutoFilter="1">
      <autoFilter ref="$A$1:$J$275"/>
    </customSheetView>
    <customSheetView guid="{E41A0FDF-88F5-4500-B78C-CC8257FD3744}" filter="1" showAutoFilter="1">
      <autoFilter ref="$E$1:$E$275"/>
    </customSheetView>
  </customSheetViews>
  <hyperlinks>
    <hyperlink r:id="rId1" ref="A62"/>
    <hyperlink r:id="rId2" ref="A200"/>
    <hyperlink r:id="rId3" ref="A226"/>
    <hyperlink r:id="rId4" ref="A238"/>
    <hyperlink r:id="rId5" ref="A255"/>
  </hyperlinks>
  <drawing r:id="rId6"/>
  <tableParts count="2">
    <tablePart r:id="rId9"/>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7"/>
      <c r="B1" s="49"/>
      <c r="C1" s="49"/>
      <c r="D1" s="49"/>
      <c r="F1" s="17"/>
      <c r="G1" s="17"/>
      <c r="H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row>
    <row r="2">
      <c r="A2" s="17"/>
      <c r="B2" s="49"/>
      <c r="C2" s="49"/>
      <c r="D2" s="49"/>
      <c r="F2" s="17"/>
      <c r="G2" s="17"/>
      <c r="H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row>
    <row r="3">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row>
    <row r="4">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row>
    <row r="5">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row>
    <row r="6">
      <c r="A6" s="17"/>
      <c r="B6" s="17"/>
      <c r="C6" s="17"/>
      <c r="D6" s="17"/>
      <c r="E6" s="17"/>
      <c r="F6" s="17"/>
      <c r="G6" s="17"/>
      <c r="H6" s="17"/>
      <c r="I6" s="17"/>
      <c r="J6" s="17"/>
      <c r="K6" s="17"/>
      <c r="L6" s="17"/>
      <c r="M6" s="17"/>
      <c r="N6" s="17"/>
      <c r="O6" s="17"/>
      <c r="P6" s="50"/>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row>
    <row r="7">
      <c r="A7" s="17"/>
      <c r="B7" s="17"/>
      <c r="C7" s="17"/>
      <c r="D7" s="17"/>
      <c r="E7" s="17"/>
      <c r="F7" s="17"/>
      <c r="G7" s="17"/>
      <c r="H7" s="17"/>
      <c r="I7" s="17"/>
      <c r="J7" s="17"/>
      <c r="K7" s="17"/>
      <c r="L7" s="17"/>
      <c r="M7" s="17"/>
      <c r="N7" s="17"/>
      <c r="P7" s="50"/>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row>
    <row r="8">
      <c r="A8" s="17"/>
      <c r="B8" s="17"/>
      <c r="C8" s="17"/>
      <c r="D8" s="17"/>
      <c r="E8" s="17"/>
      <c r="F8" s="17"/>
      <c r="G8" s="17"/>
      <c r="H8" s="17"/>
      <c r="I8" s="17"/>
      <c r="J8" s="17"/>
      <c r="K8" s="17"/>
      <c r="L8" s="17"/>
      <c r="N8" s="50"/>
      <c r="P8" s="50"/>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row>
    <row r="9">
      <c r="A9" s="17"/>
      <c r="B9" s="17"/>
      <c r="C9" s="17"/>
      <c r="D9" s="17"/>
      <c r="E9" s="17"/>
      <c r="F9" s="17"/>
      <c r="G9" s="17"/>
      <c r="H9" s="17"/>
      <c r="I9" s="17"/>
      <c r="J9" s="17"/>
      <c r="K9" s="17"/>
      <c r="L9" s="17"/>
      <c r="N9" s="17"/>
      <c r="O9" s="17"/>
      <c r="P9" s="50"/>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row>
    <row r="13">
      <c r="A13" s="17"/>
      <c r="B13" s="17"/>
      <c r="C13" s="17"/>
      <c r="D13" s="17"/>
      <c r="E13" s="17"/>
      <c r="F13" s="51"/>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row>
    <row r="14">
      <c r="A14" s="17"/>
      <c r="B14" s="17"/>
      <c r="C14" s="17"/>
      <c r="D14" s="17"/>
      <c r="E14" s="17" t="str">
        <f>dashboard!G20</f>
        <v/>
      </c>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row>
    <row r="15">
      <c r="A15" s="17"/>
      <c r="B15" s="17"/>
      <c r="C15" s="17"/>
      <c r="D15" s="17"/>
      <c r="E15" s="17"/>
      <c r="F15" s="17"/>
      <c r="G15" s="17"/>
      <c r="H15" s="17"/>
      <c r="I15" s="17"/>
      <c r="J15" s="17"/>
      <c r="K15" s="17"/>
      <c r="L15" s="17"/>
      <c r="M15" s="17"/>
      <c r="N15" s="50"/>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row>
    <row r="20">
      <c r="A20" s="17"/>
      <c r="B20" s="17"/>
      <c r="C20" s="17"/>
      <c r="D20" s="17"/>
      <c r="E20" s="17"/>
      <c r="F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row>
    <row r="23">
      <c r="A23" s="17"/>
      <c r="B23" s="17"/>
      <c r="C23" s="17"/>
      <c r="D23" s="17"/>
      <c r="E23" s="17"/>
      <c r="F23" s="17"/>
      <c r="G23" s="17"/>
      <c r="H23" s="17"/>
      <c r="I23" s="17"/>
      <c r="J23" s="17"/>
      <c r="K23" s="17"/>
      <c r="L23" s="17"/>
      <c r="M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row>
    <row r="24">
      <c r="A24" s="17"/>
      <c r="B24" s="17"/>
      <c r="C24" s="17"/>
      <c r="D24" s="17"/>
      <c r="E24" s="17"/>
      <c r="F24" s="17"/>
      <c r="G24" s="17"/>
      <c r="H24" s="17"/>
      <c r="I24" s="17"/>
      <c r="J24" s="17"/>
      <c r="K24" s="17"/>
      <c r="L24" s="17"/>
      <c r="M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row>
  </sheetData>
  <drawing r:id="rId3"/>
  <extLst>
    <ext uri="{3A4CF648-6AED-40f4-86FF-DC5316D8AED3}">
      <x14:slicerList>
        <x14:slicer r:id="rId4"/>
      </x14:slicerList>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7"/>
      <c r="B1" s="49"/>
      <c r="C1" s="49"/>
      <c r="D1" s="49"/>
      <c r="F1" s="17"/>
      <c r="G1" s="17"/>
      <c r="H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row>
    <row r="2">
      <c r="A2" s="17"/>
      <c r="B2" s="49"/>
      <c r="C2" s="49"/>
      <c r="D2" s="49"/>
      <c r="F2" s="17"/>
      <c r="G2" s="17"/>
      <c r="H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row>
    <row r="3">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row>
    <row r="4">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row>
    <row r="5">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row>
    <row r="6">
      <c r="A6" s="17"/>
      <c r="B6" s="17"/>
      <c r="C6" s="17"/>
      <c r="D6" s="17"/>
      <c r="E6" s="17"/>
      <c r="F6" s="17"/>
      <c r="G6" s="17"/>
      <c r="H6" s="17"/>
      <c r="I6" s="17"/>
      <c r="J6" s="17"/>
      <c r="K6" s="17"/>
      <c r="L6" s="17"/>
      <c r="M6" s="17"/>
      <c r="N6" s="17"/>
      <c r="O6" s="17"/>
      <c r="P6" s="50"/>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row>
    <row r="7">
      <c r="A7" s="17"/>
      <c r="B7" s="17"/>
      <c r="C7" s="17"/>
      <c r="D7" s="17"/>
      <c r="E7" s="17"/>
      <c r="F7" s="17"/>
      <c r="G7" s="17"/>
      <c r="H7" s="17"/>
      <c r="I7" s="17"/>
      <c r="J7" s="17"/>
      <c r="K7" s="17"/>
      <c r="L7" s="17"/>
      <c r="M7" s="17"/>
      <c r="N7" s="17"/>
      <c r="P7" s="50"/>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row>
    <row r="8">
      <c r="A8" s="17"/>
      <c r="B8" s="17"/>
      <c r="C8" s="17"/>
      <c r="D8" s="17"/>
      <c r="E8" s="17"/>
      <c r="F8" s="17"/>
      <c r="G8" s="17"/>
      <c r="H8" s="17"/>
      <c r="I8" s="17"/>
      <c r="J8" s="17"/>
      <c r="K8" s="17"/>
      <c r="L8" s="17"/>
      <c r="N8" s="50"/>
      <c r="P8" s="50"/>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row>
    <row r="9">
      <c r="A9" s="17"/>
      <c r="B9" s="17"/>
      <c r="C9" s="17"/>
      <c r="D9" s="17"/>
      <c r="E9" s="17"/>
      <c r="F9" s="17"/>
      <c r="G9" s="17"/>
      <c r="H9" s="17"/>
      <c r="I9" s="17"/>
      <c r="J9" s="17"/>
      <c r="K9" s="17"/>
      <c r="L9" s="17"/>
      <c r="N9" s="17"/>
      <c r="O9" s="17"/>
      <c r="P9" s="50"/>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row>
    <row r="13">
      <c r="A13" s="17"/>
      <c r="B13" s="17"/>
      <c r="C13" s="17"/>
      <c r="D13" s="17"/>
      <c r="E13" s="17"/>
      <c r="F13" s="51"/>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row>
    <row r="14">
      <c r="A14" s="17"/>
      <c r="B14" s="17"/>
      <c r="C14" s="17"/>
      <c r="D14" s="17"/>
      <c r="E14" s="17" t="str">
        <f>'Dashboard para video'!G20</f>
        <v/>
      </c>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row>
    <row r="15">
      <c r="A15" s="17"/>
      <c r="B15" s="17"/>
      <c r="C15" s="17"/>
      <c r="D15" s="17"/>
      <c r="E15" s="17"/>
      <c r="F15" s="17"/>
      <c r="G15" s="17"/>
      <c r="H15" s="17"/>
      <c r="I15" s="17"/>
      <c r="J15" s="17"/>
      <c r="K15" s="17"/>
      <c r="L15" s="17"/>
      <c r="M15" s="17"/>
      <c r="N15" s="50"/>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row>
    <row r="20">
      <c r="A20" s="17"/>
      <c r="B20" s="17"/>
      <c r="C20" s="17"/>
      <c r="D20" s="17"/>
      <c r="E20" s="17"/>
      <c r="F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17"/>
      <c r="DF27" s="17"/>
      <c r="DG27" s="17"/>
      <c r="DH27" s="17"/>
      <c r="DI27" s="17"/>
      <c r="DJ27" s="17"/>
      <c r="DK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row>
    <row r="1002">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row>
    <row r="1003">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row>
  </sheetData>
  <customSheetViews>
    <customSheetView guid="{E41A0FDF-88F5-4500-B78C-CC8257FD3744}" filter="1" showAutoFilter="1">
      <autoFilter ref="$I$18"/>
    </customSheetView>
  </customSheetViews>
  <drawing r:id="rId2"/>
  <tableParts count="1">
    <tablePart r:id="rId4"/>
  </tableParts>
  <extLst>
    <ext uri="{3A4CF648-6AED-40f4-86FF-DC5316D8AED3}">
      <x14:slicerList>
        <x14:slicer r:id="rId5"/>
      </x14:slicerList>
    </ext>
  </extLst>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52" t="s">
        <v>1443</v>
      </c>
      <c r="B1" s="53" t="s">
        <v>1444</v>
      </c>
      <c r="C1" s="53" t="s">
        <v>1445</v>
      </c>
      <c r="D1" s="53" t="s">
        <v>1446</v>
      </c>
      <c r="E1" s="53" t="s">
        <v>1447</v>
      </c>
      <c r="F1" s="53" t="s">
        <v>1448</v>
      </c>
      <c r="G1" s="53" t="s">
        <v>1449</v>
      </c>
      <c r="H1" s="53" t="s">
        <v>1450</v>
      </c>
      <c r="I1" s="54" t="s">
        <v>1451</v>
      </c>
    </row>
    <row r="2">
      <c r="A2" s="55" t="s">
        <v>993</v>
      </c>
      <c r="B2" s="56">
        <v>9.0</v>
      </c>
      <c r="C2" s="56" t="s">
        <v>1453</v>
      </c>
      <c r="D2" s="56">
        <v>1200.0</v>
      </c>
      <c r="E2" s="56" t="s">
        <v>1454</v>
      </c>
      <c r="F2" s="56">
        <v>13.0</v>
      </c>
      <c r="G2" s="56" t="s">
        <v>551</v>
      </c>
      <c r="H2" s="56" t="s">
        <v>1455</v>
      </c>
      <c r="I2" s="57">
        <v>95.0</v>
      </c>
    </row>
    <row r="3">
      <c r="A3" s="55" t="s">
        <v>496</v>
      </c>
      <c r="B3" s="56">
        <v>8.0</v>
      </c>
      <c r="C3" s="56" t="s">
        <v>1456</v>
      </c>
      <c r="D3" s="56">
        <v>2000.0</v>
      </c>
      <c r="E3" s="56" t="s">
        <v>1457</v>
      </c>
      <c r="F3" s="56">
        <v>13.0</v>
      </c>
      <c r="G3" s="56" t="s">
        <v>69</v>
      </c>
      <c r="H3" s="56" t="s">
        <v>1455</v>
      </c>
      <c r="I3" s="57">
        <v>30.0</v>
      </c>
    </row>
    <row r="4">
      <c r="A4" s="55" t="s">
        <v>450</v>
      </c>
      <c r="B4" s="56">
        <v>10.0</v>
      </c>
      <c r="C4" s="56" t="s">
        <v>1458</v>
      </c>
      <c r="D4" s="56">
        <v>2900.0</v>
      </c>
      <c r="E4" s="56" t="s">
        <v>855</v>
      </c>
      <c r="F4" s="56">
        <v>13.0</v>
      </c>
      <c r="G4" s="56" t="s">
        <v>69</v>
      </c>
      <c r="H4" s="56" t="s">
        <v>1459</v>
      </c>
      <c r="I4" s="57">
        <v>35.0</v>
      </c>
    </row>
    <row r="5">
      <c r="A5" s="55" t="s">
        <v>491</v>
      </c>
      <c r="B5" s="56">
        <v>5.0</v>
      </c>
      <c r="C5" s="56" t="s">
        <v>1460</v>
      </c>
      <c r="D5" s="56">
        <v>2000.0</v>
      </c>
      <c r="E5" s="56" t="s">
        <v>679</v>
      </c>
      <c r="F5" s="56">
        <v>16.0</v>
      </c>
      <c r="G5" s="56" t="s">
        <v>69</v>
      </c>
      <c r="H5" s="56" t="s">
        <v>1461</v>
      </c>
      <c r="I5" s="57">
        <v>28.0</v>
      </c>
    </row>
    <row r="6">
      <c r="A6" s="55" t="s">
        <v>869</v>
      </c>
      <c r="B6" s="56">
        <v>3.0</v>
      </c>
      <c r="C6" s="56" t="s">
        <v>1462</v>
      </c>
      <c r="D6" s="56">
        <v>800.0</v>
      </c>
      <c r="E6" s="56" t="s">
        <v>1463</v>
      </c>
      <c r="F6" s="56">
        <v>16.0</v>
      </c>
      <c r="G6" s="56" t="s">
        <v>69</v>
      </c>
      <c r="H6" s="56" t="s">
        <v>1464</v>
      </c>
      <c r="I6" s="57">
        <v>10.0</v>
      </c>
    </row>
    <row r="7">
      <c r="A7" s="55" t="s">
        <v>459</v>
      </c>
      <c r="B7" s="56">
        <v>6.0</v>
      </c>
      <c r="C7" s="56" t="s">
        <v>1465</v>
      </c>
      <c r="D7" s="56">
        <v>2500.0</v>
      </c>
      <c r="E7" s="56" t="s">
        <v>1454</v>
      </c>
      <c r="F7" s="56">
        <v>13.0</v>
      </c>
      <c r="G7" s="56" t="s">
        <v>69</v>
      </c>
      <c r="H7" s="56" t="s">
        <v>1455</v>
      </c>
      <c r="I7" s="57">
        <v>40.0</v>
      </c>
    </row>
    <row r="8">
      <c r="A8" s="55" t="s">
        <v>943</v>
      </c>
      <c r="B8" s="56">
        <v>8.0</v>
      </c>
      <c r="C8" s="56" t="s">
        <v>1466</v>
      </c>
      <c r="D8" s="56">
        <v>750.0</v>
      </c>
      <c r="E8" s="56" t="s">
        <v>679</v>
      </c>
      <c r="F8" s="56">
        <v>13.0</v>
      </c>
      <c r="G8" s="56" t="s">
        <v>69</v>
      </c>
      <c r="H8" s="56" t="s">
        <v>1455</v>
      </c>
      <c r="I8" s="57">
        <v>25.0</v>
      </c>
    </row>
    <row r="9">
      <c r="A9" s="55" t="s">
        <v>1467</v>
      </c>
      <c r="B9" s="56">
        <v>7.0</v>
      </c>
      <c r="C9" s="56" t="s">
        <v>1468</v>
      </c>
      <c r="D9" s="56">
        <v>550.0</v>
      </c>
      <c r="E9" s="56" t="s">
        <v>471</v>
      </c>
      <c r="F9" s="56">
        <v>13.0</v>
      </c>
      <c r="G9" s="56" t="s">
        <v>69</v>
      </c>
      <c r="H9" s="56" t="s">
        <v>1469</v>
      </c>
      <c r="I9" s="57">
        <v>30.0</v>
      </c>
    </row>
    <row r="10">
      <c r="A10" s="55" t="s">
        <v>967</v>
      </c>
      <c r="B10" s="56">
        <v>7.0</v>
      </c>
      <c r="C10" s="56" t="s">
        <v>1470</v>
      </c>
      <c r="D10" s="56">
        <v>800.0</v>
      </c>
      <c r="E10" s="56" t="s">
        <v>679</v>
      </c>
      <c r="F10" s="56">
        <v>16.0</v>
      </c>
      <c r="G10" s="56" t="s">
        <v>1471</v>
      </c>
      <c r="H10" s="56" t="s">
        <v>1472</v>
      </c>
      <c r="I10" s="57">
        <v>20.0</v>
      </c>
    </row>
    <row r="11">
      <c r="A11" s="55" t="s">
        <v>940</v>
      </c>
      <c r="B11" s="56">
        <v>4.0</v>
      </c>
      <c r="C11" s="56" t="s">
        <v>1473</v>
      </c>
      <c r="D11" s="56">
        <v>460.0</v>
      </c>
      <c r="E11" s="56" t="s">
        <v>1457</v>
      </c>
      <c r="F11" s="56">
        <v>13.0</v>
      </c>
      <c r="G11" s="56" t="s">
        <v>69</v>
      </c>
      <c r="H11" s="56" t="s">
        <v>1455</v>
      </c>
      <c r="I11" s="57">
        <v>15.0</v>
      </c>
    </row>
    <row r="12">
      <c r="A12" s="55" t="s">
        <v>892</v>
      </c>
      <c r="B12" s="56">
        <v>6.0</v>
      </c>
      <c r="C12" s="56" t="s">
        <v>1474</v>
      </c>
      <c r="D12" s="56">
        <v>500.0</v>
      </c>
      <c r="E12" s="56" t="s">
        <v>1475</v>
      </c>
      <c r="F12" s="56">
        <v>13.0</v>
      </c>
      <c r="G12" s="56" t="s">
        <v>69</v>
      </c>
      <c r="H12" s="56" t="s">
        <v>1455</v>
      </c>
      <c r="I12" s="57">
        <v>20.0</v>
      </c>
    </row>
    <row r="13">
      <c r="A13" s="55" t="s">
        <v>1059</v>
      </c>
      <c r="B13" s="56">
        <v>7.0</v>
      </c>
      <c r="C13" s="56" t="s">
        <v>1476</v>
      </c>
      <c r="D13" s="56">
        <v>150.0</v>
      </c>
      <c r="E13" s="56" t="s">
        <v>1477</v>
      </c>
      <c r="F13" s="56">
        <v>13.0</v>
      </c>
      <c r="G13" s="56" t="s">
        <v>69</v>
      </c>
      <c r="H13" s="56" t="s">
        <v>1472</v>
      </c>
      <c r="I13" s="57">
        <v>50.0</v>
      </c>
    </row>
    <row r="14">
      <c r="A14" s="55" t="s">
        <v>948</v>
      </c>
      <c r="B14" s="56">
        <v>6.0</v>
      </c>
      <c r="C14" s="56" t="s">
        <v>1478</v>
      </c>
      <c r="D14" s="56">
        <v>140.0</v>
      </c>
      <c r="E14" s="56" t="s">
        <v>880</v>
      </c>
      <c r="F14" s="56">
        <v>13.0</v>
      </c>
      <c r="G14" s="56" t="s">
        <v>69</v>
      </c>
      <c r="H14" s="56" t="s">
        <v>1464</v>
      </c>
      <c r="I14" s="57">
        <v>90.0</v>
      </c>
    </row>
    <row r="15">
      <c r="A15" s="55" t="s">
        <v>1033</v>
      </c>
      <c r="B15" s="56">
        <v>2.0</v>
      </c>
      <c r="C15" s="56" t="s">
        <v>1479</v>
      </c>
      <c r="D15" s="56">
        <v>230.0</v>
      </c>
      <c r="E15" s="56" t="s">
        <v>880</v>
      </c>
      <c r="F15" s="56">
        <v>18.0</v>
      </c>
      <c r="G15" s="56" t="s">
        <v>69</v>
      </c>
      <c r="H15" s="56" t="s">
        <v>1464</v>
      </c>
      <c r="I15" s="57">
        <v>60.0</v>
      </c>
    </row>
    <row r="16">
      <c r="A16" s="55" t="s">
        <v>483</v>
      </c>
      <c r="B16" s="56">
        <v>2.0</v>
      </c>
      <c r="C16" s="56" t="s">
        <v>1480</v>
      </c>
      <c r="D16" s="56">
        <v>500.0</v>
      </c>
      <c r="E16" s="56" t="s">
        <v>1481</v>
      </c>
      <c r="F16" s="56">
        <v>13.0</v>
      </c>
      <c r="G16" s="56" t="s">
        <v>423</v>
      </c>
      <c r="H16" s="56" t="s">
        <v>1472</v>
      </c>
      <c r="I16" s="57">
        <v>80.0</v>
      </c>
    </row>
    <row r="17">
      <c r="A17" s="55" t="s">
        <v>962</v>
      </c>
      <c r="B17" s="56">
        <v>8.0</v>
      </c>
      <c r="C17" s="56" t="s">
        <v>1482</v>
      </c>
      <c r="D17" s="56">
        <v>75.0</v>
      </c>
      <c r="E17" s="56" t="s">
        <v>961</v>
      </c>
      <c r="F17" s="56">
        <v>18.0</v>
      </c>
      <c r="G17" s="56" t="s">
        <v>69</v>
      </c>
      <c r="H17" s="56" t="s">
        <v>1472</v>
      </c>
      <c r="I17" s="57">
        <v>10.0</v>
      </c>
    </row>
    <row r="18">
      <c r="A18" s="55" t="s">
        <v>1483</v>
      </c>
      <c r="B18" s="56">
        <v>7.0</v>
      </c>
      <c r="C18" s="56" t="s">
        <v>1484</v>
      </c>
      <c r="D18" s="56">
        <v>50.0</v>
      </c>
      <c r="E18" s="56" t="s">
        <v>961</v>
      </c>
      <c r="F18" s="56">
        <v>18.0</v>
      </c>
      <c r="G18" s="56" t="s">
        <v>69</v>
      </c>
      <c r="H18" s="56" t="s">
        <v>1472</v>
      </c>
      <c r="I18" s="57">
        <v>10.0</v>
      </c>
    </row>
    <row r="19">
      <c r="A19" s="55" t="s">
        <v>1485</v>
      </c>
      <c r="B19" s="56">
        <v>9.0</v>
      </c>
      <c r="C19" s="56" t="s">
        <v>1486</v>
      </c>
      <c r="D19" s="56">
        <v>13.0</v>
      </c>
      <c r="E19" s="56" t="s">
        <v>961</v>
      </c>
      <c r="F19" s="56">
        <v>18.0</v>
      </c>
      <c r="G19" s="56" t="s">
        <v>69</v>
      </c>
      <c r="H19" s="56" t="s">
        <v>1455</v>
      </c>
      <c r="I19" s="57">
        <v>15.0</v>
      </c>
    </row>
    <row r="20">
      <c r="A20" s="55" t="s">
        <v>1068</v>
      </c>
      <c r="B20" s="56">
        <v>8.0</v>
      </c>
      <c r="C20" s="56" t="s">
        <v>1487</v>
      </c>
      <c r="D20" s="56">
        <v>200.0</v>
      </c>
      <c r="E20" s="56" t="s">
        <v>1488</v>
      </c>
      <c r="F20" s="56">
        <v>13.0</v>
      </c>
      <c r="G20" s="56" t="s">
        <v>69</v>
      </c>
      <c r="H20" s="56" t="s">
        <v>1489</v>
      </c>
      <c r="I20" s="57">
        <v>120.0</v>
      </c>
    </row>
    <row r="21">
      <c r="A21" s="55" t="s">
        <v>557</v>
      </c>
      <c r="B21" s="56">
        <v>6.0</v>
      </c>
      <c r="C21" s="56" t="s">
        <v>1490</v>
      </c>
      <c r="D21" s="56">
        <v>400.0</v>
      </c>
      <c r="E21" s="56" t="s">
        <v>1488</v>
      </c>
      <c r="F21" s="56">
        <v>13.0</v>
      </c>
      <c r="G21" s="56" t="s">
        <v>69</v>
      </c>
      <c r="H21" s="56" t="s">
        <v>1489</v>
      </c>
      <c r="I21" s="57">
        <v>60.0</v>
      </c>
    </row>
    <row r="22">
      <c r="A22" s="55" t="s">
        <v>1491</v>
      </c>
      <c r="B22" s="56">
        <v>3.0</v>
      </c>
      <c r="C22" s="56" t="s">
        <v>1492</v>
      </c>
      <c r="D22" s="56">
        <v>140.0</v>
      </c>
      <c r="E22" s="56" t="s">
        <v>1488</v>
      </c>
      <c r="F22" s="56">
        <v>10.0</v>
      </c>
      <c r="G22" s="56" t="s">
        <v>423</v>
      </c>
      <c r="H22" s="56" t="s">
        <v>1493</v>
      </c>
      <c r="I22" s="57">
        <v>50.0</v>
      </c>
    </row>
    <row r="23">
      <c r="A23" s="55" t="s">
        <v>504</v>
      </c>
      <c r="B23" s="56">
        <v>4.0</v>
      </c>
      <c r="C23" s="56" t="s">
        <v>1494</v>
      </c>
      <c r="D23" s="56">
        <v>300.0</v>
      </c>
      <c r="E23" s="56" t="s">
        <v>1495</v>
      </c>
      <c r="F23" s="56">
        <v>16.0</v>
      </c>
      <c r="G23" s="56" t="s">
        <v>69</v>
      </c>
      <c r="H23" s="56" t="s">
        <v>1472</v>
      </c>
      <c r="I23" s="57">
        <v>40.0</v>
      </c>
    </row>
    <row r="24">
      <c r="A24" s="55" t="s">
        <v>982</v>
      </c>
      <c r="B24" s="56">
        <v>2.0</v>
      </c>
      <c r="C24" s="56" t="s">
        <v>1496</v>
      </c>
      <c r="D24" s="56">
        <v>20.0</v>
      </c>
      <c r="E24" s="56" t="s">
        <v>1495</v>
      </c>
      <c r="F24" s="56">
        <v>16.0</v>
      </c>
      <c r="G24" s="56" t="s">
        <v>69</v>
      </c>
      <c r="H24" s="56" t="s">
        <v>1464</v>
      </c>
      <c r="I24" s="57">
        <v>60.0</v>
      </c>
    </row>
    <row r="25">
      <c r="A25" s="55" t="s">
        <v>1497</v>
      </c>
      <c r="B25" s="56">
        <v>2.0</v>
      </c>
      <c r="C25" s="56" t="s">
        <v>1498</v>
      </c>
      <c r="D25" s="56">
        <v>280.0</v>
      </c>
      <c r="E25" s="56" t="s">
        <v>1495</v>
      </c>
      <c r="F25" s="56">
        <v>16.0</v>
      </c>
      <c r="G25" s="56" t="s">
        <v>69</v>
      </c>
      <c r="H25" s="56" t="s">
        <v>1464</v>
      </c>
      <c r="I25" s="57">
        <v>50.0</v>
      </c>
    </row>
    <row r="26">
      <c r="A26" s="55" t="s">
        <v>1055</v>
      </c>
      <c r="B26" s="56">
        <v>9.0</v>
      </c>
      <c r="C26" s="56" t="s">
        <v>1499</v>
      </c>
      <c r="D26" s="56">
        <v>1300.0</v>
      </c>
      <c r="E26" s="56" t="s">
        <v>1500</v>
      </c>
      <c r="F26" s="56">
        <v>13.0</v>
      </c>
      <c r="G26" s="56" t="s">
        <v>551</v>
      </c>
      <c r="H26" s="56" t="s">
        <v>1459</v>
      </c>
      <c r="I26" s="57">
        <v>80.0</v>
      </c>
    </row>
    <row r="27">
      <c r="A27" s="55" t="s">
        <v>1501</v>
      </c>
      <c r="B27" s="56">
        <v>9.0</v>
      </c>
      <c r="C27" s="56" t="s">
        <v>1502</v>
      </c>
      <c r="D27" s="56">
        <v>700.0</v>
      </c>
      <c r="E27" s="56" t="s">
        <v>1454</v>
      </c>
      <c r="F27" s="56">
        <v>13.0</v>
      </c>
      <c r="G27" s="56" t="s">
        <v>551</v>
      </c>
      <c r="H27" s="56" t="s">
        <v>1455</v>
      </c>
      <c r="I27" s="57">
        <v>100.0</v>
      </c>
    </row>
    <row r="28">
      <c r="A28" s="55" t="s">
        <v>1503</v>
      </c>
      <c r="B28" s="56">
        <v>8.0</v>
      </c>
      <c r="C28" s="56" t="s">
        <v>1504</v>
      </c>
      <c r="D28" s="56">
        <v>580.0</v>
      </c>
      <c r="E28" s="56" t="s">
        <v>471</v>
      </c>
      <c r="F28" s="56">
        <v>13.0</v>
      </c>
      <c r="G28" s="56" t="s">
        <v>551</v>
      </c>
      <c r="H28" s="56" t="s">
        <v>1455</v>
      </c>
      <c r="I28" s="57">
        <v>40.0</v>
      </c>
    </row>
    <row r="29">
      <c r="A29" s="55" t="s">
        <v>1505</v>
      </c>
      <c r="B29" s="56">
        <v>4.0</v>
      </c>
      <c r="C29" s="56" t="s">
        <v>1506</v>
      </c>
      <c r="D29" s="56">
        <v>190.0</v>
      </c>
      <c r="E29" s="56" t="s">
        <v>679</v>
      </c>
      <c r="F29" s="56">
        <v>13.0</v>
      </c>
      <c r="G29" s="56" t="s">
        <v>285</v>
      </c>
      <c r="H29" s="56" t="s">
        <v>1472</v>
      </c>
      <c r="I29" s="57">
        <v>25.0</v>
      </c>
    </row>
    <row r="30">
      <c r="A30" s="55" t="s">
        <v>1507</v>
      </c>
      <c r="B30" s="56">
        <v>4.0</v>
      </c>
      <c r="C30" s="56" t="s">
        <v>1508</v>
      </c>
      <c r="D30" s="56">
        <v>50.0</v>
      </c>
      <c r="E30" s="56" t="s">
        <v>679</v>
      </c>
      <c r="F30" s="56">
        <v>13.0</v>
      </c>
      <c r="G30" s="56" t="s">
        <v>1509</v>
      </c>
      <c r="H30" s="56" t="s">
        <v>1472</v>
      </c>
      <c r="I30" s="57">
        <v>35.0</v>
      </c>
    </row>
    <row r="31">
      <c r="A31" s="55" t="s">
        <v>1510</v>
      </c>
      <c r="B31" s="56">
        <v>8.0</v>
      </c>
      <c r="C31" s="56" t="s">
        <v>1511</v>
      </c>
      <c r="D31" s="56">
        <v>100.0</v>
      </c>
      <c r="E31" s="56" t="s">
        <v>855</v>
      </c>
      <c r="F31" s="56">
        <v>13.0</v>
      </c>
      <c r="G31" s="56" t="s">
        <v>1512</v>
      </c>
      <c r="H31" s="56" t="s">
        <v>1455</v>
      </c>
      <c r="I31" s="57">
        <v>40.0</v>
      </c>
    </row>
    <row r="32">
      <c r="A32" s="55" t="s">
        <v>1397</v>
      </c>
      <c r="B32" s="56">
        <v>1.0</v>
      </c>
      <c r="C32" s="56" t="s">
        <v>1513</v>
      </c>
      <c r="D32" s="56">
        <v>100.0</v>
      </c>
      <c r="E32" s="56" t="s">
        <v>679</v>
      </c>
      <c r="F32" s="56">
        <v>13.0</v>
      </c>
      <c r="G32" s="56" t="s">
        <v>69</v>
      </c>
      <c r="H32" s="56" t="s">
        <v>1514</v>
      </c>
      <c r="I32" s="57">
        <v>5.0</v>
      </c>
    </row>
    <row r="33">
      <c r="A33" s="55" t="s">
        <v>462</v>
      </c>
      <c r="B33" s="56">
        <v>3.0</v>
      </c>
      <c r="C33" s="56" t="s">
        <v>1515</v>
      </c>
      <c r="D33" s="56">
        <v>1000.0</v>
      </c>
      <c r="E33" s="56" t="s">
        <v>1516</v>
      </c>
      <c r="F33" s="56">
        <v>13.0</v>
      </c>
      <c r="G33" s="56" t="s">
        <v>69</v>
      </c>
      <c r="H33" s="56" t="s">
        <v>1459</v>
      </c>
      <c r="I33" s="57">
        <v>5.0</v>
      </c>
    </row>
    <row r="34">
      <c r="A34" s="55" t="s">
        <v>1517</v>
      </c>
      <c r="B34" s="56">
        <v>5.0</v>
      </c>
      <c r="C34" s="56" t="s">
        <v>1518</v>
      </c>
      <c r="D34" s="56">
        <v>1000.0</v>
      </c>
      <c r="E34" s="56" t="s">
        <v>1516</v>
      </c>
      <c r="F34" s="56">
        <v>13.0</v>
      </c>
      <c r="G34" s="56" t="s">
        <v>69</v>
      </c>
      <c r="H34" s="56" t="s">
        <v>1459</v>
      </c>
      <c r="I34" s="57">
        <v>2.0</v>
      </c>
    </row>
    <row r="35">
      <c r="A35" s="55" t="s">
        <v>1519</v>
      </c>
      <c r="B35" s="56">
        <v>4.0</v>
      </c>
      <c r="C35" s="56" t="s">
        <v>1520</v>
      </c>
      <c r="D35" s="56">
        <v>1800.0</v>
      </c>
      <c r="E35" s="56" t="s">
        <v>227</v>
      </c>
      <c r="F35" s="56">
        <v>13.0</v>
      </c>
      <c r="G35" s="56" t="s">
        <v>69</v>
      </c>
      <c r="H35" s="56" t="s">
        <v>1459</v>
      </c>
      <c r="I35" s="57">
        <v>15.0</v>
      </c>
    </row>
    <row r="36">
      <c r="A36" s="55" t="s">
        <v>1521</v>
      </c>
      <c r="B36" s="56">
        <v>4.0</v>
      </c>
      <c r="C36" s="56" t="s">
        <v>1522</v>
      </c>
      <c r="D36" s="56">
        <v>400.0</v>
      </c>
      <c r="E36" s="56" t="s">
        <v>227</v>
      </c>
      <c r="F36" s="56">
        <v>13.0</v>
      </c>
      <c r="G36" s="56" t="s">
        <v>69</v>
      </c>
      <c r="H36" s="56" t="s">
        <v>979</v>
      </c>
      <c r="I36" s="57">
        <v>15.0</v>
      </c>
    </row>
    <row r="37">
      <c r="A37" s="55" t="s">
        <v>908</v>
      </c>
      <c r="B37" s="56">
        <v>3.0</v>
      </c>
      <c r="C37" s="56" t="s">
        <v>1523</v>
      </c>
      <c r="D37" s="56">
        <v>700.0</v>
      </c>
      <c r="E37" s="56" t="s">
        <v>1524</v>
      </c>
      <c r="F37" s="56">
        <v>13.0</v>
      </c>
      <c r="G37" s="56" t="s">
        <v>69</v>
      </c>
      <c r="H37" s="56" t="s">
        <v>1472</v>
      </c>
      <c r="I37" s="57">
        <v>5.0</v>
      </c>
    </row>
    <row r="38">
      <c r="A38" s="55" t="s">
        <v>1525</v>
      </c>
      <c r="B38" s="56">
        <v>3.0</v>
      </c>
      <c r="C38" s="56" t="s">
        <v>1526</v>
      </c>
      <c r="D38" s="56">
        <v>850.0</v>
      </c>
      <c r="E38" s="56" t="s">
        <v>1524</v>
      </c>
      <c r="F38" s="56">
        <v>13.0</v>
      </c>
      <c r="G38" s="56" t="s">
        <v>69</v>
      </c>
      <c r="H38" s="56" t="s">
        <v>1464</v>
      </c>
      <c r="I38" s="57">
        <v>2.0</v>
      </c>
    </row>
    <row r="39">
      <c r="A39" s="55" t="s">
        <v>1527</v>
      </c>
      <c r="B39" s="56">
        <v>9.0</v>
      </c>
      <c r="C39" s="56" t="s">
        <v>1528</v>
      </c>
      <c r="D39" s="56">
        <v>180.0</v>
      </c>
      <c r="E39" s="56" t="s">
        <v>1529</v>
      </c>
      <c r="F39" s="56">
        <v>18.0</v>
      </c>
      <c r="G39" s="56" t="s">
        <v>1530</v>
      </c>
      <c r="H39" s="56" t="s">
        <v>1531</v>
      </c>
      <c r="I39" s="57">
        <v>20.0</v>
      </c>
    </row>
    <row r="40">
      <c r="A40" s="55" t="s">
        <v>1532</v>
      </c>
      <c r="B40" s="56">
        <v>9.0</v>
      </c>
      <c r="C40" s="56" t="s">
        <v>1533</v>
      </c>
      <c r="D40" s="56">
        <v>120.0</v>
      </c>
      <c r="E40" s="56" t="s">
        <v>1529</v>
      </c>
      <c r="F40" s="56">
        <v>18.0</v>
      </c>
      <c r="G40" s="56" t="s">
        <v>383</v>
      </c>
      <c r="H40" s="56" t="s">
        <v>1455</v>
      </c>
      <c r="I40" s="57">
        <v>10.0</v>
      </c>
    </row>
    <row r="41">
      <c r="A41" s="55" t="s">
        <v>1534</v>
      </c>
      <c r="B41" s="56">
        <v>7.0</v>
      </c>
      <c r="C41" s="56" t="s">
        <v>1535</v>
      </c>
      <c r="D41" s="56">
        <v>150.0</v>
      </c>
      <c r="E41" s="56" t="s">
        <v>1536</v>
      </c>
      <c r="F41" s="56">
        <v>16.0</v>
      </c>
      <c r="G41" s="56" t="s">
        <v>551</v>
      </c>
      <c r="H41" s="56" t="s">
        <v>1537</v>
      </c>
      <c r="I41" s="57">
        <v>20.0</v>
      </c>
    </row>
    <row r="42">
      <c r="A42" s="55" t="s">
        <v>1538</v>
      </c>
      <c r="B42" s="56">
        <v>8.0</v>
      </c>
      <c r="C42" s="56" t="s">
        <v>1539</v>
      </c>
      <c r="D42" s="56">
        <v>100.0</v>
      </c>
      <c r="E42" s="56" t="s">
        <v>1536</v>
      </c>
      <c r="F42" s="56">
        <v>16.0</v>
      </c>
      <c r="G42" s="56" t="s">
        <v>551</v>
      </c>
      <c r="H42" s="56" t="s">
        <v>1537</v>
      </c>
      <c r="I42" s="57">
        <v>25.0</v>
      </c>
    </row>
    <row r="43">
      <c r="A43" s="55" t="s">
        <v>377</v>
      </c>
      <c r="B43" s="56">
        <v>3.0</v>
      </c>
      <c r="C43" s="56" t="s">
        <v>1540</v>
      </c>
      <c r="D43" s="56">
        <v>300.0</v>
      </c>
      <c r="E43" s="56" t="s">
        <v>1536</v>
      </c>
      <c r="F43" s="56">
        <v>18.0</v>
      </c>
      <c r="G43" s="56" t="s">
        <v>69</v>
      </c>
      <c r="H43" s="56" t="s">
        <v>1537</v>
      </c>
      <c r="I43" s="57">
        <v>15.0</v>
      </c>
    </row>
    <row r="44">
      <c r="A44" s="55" t="s">
        <v>1541</v>
      </c>
      <c r="B44" s="56">
        <v>5.0</v>
      </c>
      <c r="C44" s="56" t="s">
        <v>1542</v>
      </c>
      <c r="D44" s="56">
        <v>400.0</v>
      </c>
      <c r="E44" s="56" t="s">
        <v>1536</v>
      </c>
      <c r="F44" s="56">
        <v>18.0</v>
      </c>
      <c r="G44" s="56" t="s">
        <v>551</v>
      </c>
      <c r="H44" s="56" t="s">
        <v>1537</v>
      </c>
      <c r="I44" s="57">
        <v>15.0</v>
      </c>
    </row>
    <row r="45">
      <c r="A45" s="55" t="s">
        <v>392</v>
      </c>
      <c r="B45" s="56">
        <v>4.0</v>
      </c>
      <c r="C45" s="56" t="s">
        <v>1543</v>
      </c>
      <c r="D45" s="56">
        <v>130.0</v>
      </c>
      <c r="E45" s="56" t="s">
        <v>1536</v>
      </c>
      <c r="F45" s="56">
        <v>18.0</v>
      </c>
      <c r="G45" s="56" t="s">
        <v>69</v>
      </c>
      <c r="H45" s="56" t="s">
        <v>1531</v>
      </c>
      <c r="I45" s="57">
        <v>10.0</v>
      </c>
    </row>
    <row r="46">
      <c r="A46" s="55" t="s">
        <v>937</v>
      </c>
      <c r="B46" s="56">
        <v>5.0</v>
      </c>
      <c r="C46" s="56" t="s">
        <v>1544</v>
      </c>
      <c r="D46" s="56">
        <v>150.0</v>
      </c>
      <c r="E46" s="56" t="s">
        <v>1545</v>
      </c>
      <c r="F46" s="56">
        <v>18.0</v>
      </c>
      <c r="G46" s="56" t="s">
        <v>69</v>
      </c>
      <c r="H46" s="56" t="s">
        <v>1531</v>
      </c>
      <c r="I46" s="57">
        <v>15.0</v>
      </c>
    </row>
    <row r="47">
      <c r="A47" s="55" t="s">
        <v>934</v>
      </c>
      <c r="B47" s="56">
        <v>5.0</v>
      </c>
      <c r="C47" s="56" t="s">
        <v>1546</v>
      </c>
      <c r="D47" s="56">
        <v>130.0</v>
      </c>
      <c r="E47" s="56" t="s">
        <v>521</v>
      </c>
      <c r="F47" s="56">
        <v>18.0</v>
      </c>
      <c r="G47" s="56" t="s">
        <v>69</v>
      </c>
      <c r="H47" s="56" t="s">
        <v>1531</v>
      </c>
      <c r="I47" s="57">
        <v>10.0</v>
      </c>
    </row>
    <row r="48">
      <c r="A48" s="55" t="s">
        <v>1547</v>
      </c>
      <c r="B48" s="56">
        <v>4.0</v>
      </c>
      <c r="C48" s="56" t="s">
        <v>1548</v>
      </c>
      <c r="D48" s="56">
        <v>5.0</v>
      </c>
      <c r="E48" s="56" t="s">
        <v>521</v>
      </c>
      <c r="F48" s="56">
        <v>18.0</v>
      </c>
      <c r="G48" s="56" t="s">
        <v>1549</v>
      </c>
      <c r="H48" s="56" t="s">
        <v>1531</v>
      </c>
      <c r="I48" s="57">
        <v>10.0</v>
      </c>
    </row>
    <row r="49">
      <c r="A49" s="55" t="s">
        <v>1550</v>
      </c>
      <c r="B49" s="56">
        <v>4.0</v>
      </c>
      <c r="C49" s="56" t="s">
        <v>1551</v>
      </c>
      <c r="D49" s="56">
        <v>90.0</v>
      </c>
      <c r="E49" s="56" t="s">
        <v>521</v>
      </c>
      <c r="F49" s="56">
        <v>18.0</v>
      </c>
      <c r="G49" s="56" t="s">
        <v>45</v>
      </c>
      <c r="H49" s="56" t="s">
        <v>1531</v>
      </c>
      <c r="I49" s="57">
        <v>10.0</v>
      </c>
    </row>
    <row r="50">
      <c r="A50" s="55" t="s">
        <v>1552</v>
      </c>
      <c r="B50" s="56">
        <v>3.0</v>
      </c>
      <c r="C50" s="56" t="s">
        <v>1553</v>
      </c>
      <c r="D50" s="56">
        <v>500.0</v>
      </c>
      <c r="E50" s="56" t="s">
        <v>1545</v>
      </c>
      <c r="F50" s="56">
        <v>18.0</v>
      </c>
      <c r="G50" s="56" t="s">
        <v>359</v>
      </c>
      <c r="H50" s="56" t="s">
        <v>1531</v>
      </c>
      <c r="I50" s="57">
        <v>15.0</v>
      </c>
    </row>
    <row r="51">
      <c r="A51" s="55" t="s">
        <v>1052</v>
      </c>
      <c r="B51" s="56">
        <v>3.0</v>
      </c>
      <c r="C51" s="56" t="s">
        <v>1554</v>
      </c>
      <c r="D51" s="56">
        <v>400.0</v>
      </c>
      <c r="E51" s="56" t="s">
        <v>1545</v>
      </c>
      <c r="F51" s="56">
        <v>13.0</v>
      </c>
      <c r="G51" s="56" t="s">
        <v>69</v>
      </c>
      <c r="H51" s="56" t="s">
        <v>1455</v>
      </c>
      <c r="I51" s="57">
        <v>10.0</v>
      </c>
    </row>
    <row r="52">
      <c r="A52" s="55" t="s">
        <v>1555</v>
      </c>
      <c r="B52" s="56">
        <v>6.0</v>
      </c>
      <c r="C52" s="56" t="s">
        <v>1556</v>
      </c>
      <c r="D52" s="56">
        <v>100.0</v>
      </c>
      <c r="E52" s="56" t="s">
        <v>1557</v>
      </c>
      <c r="F52" s="56">
        <v>13.0</v>
      </c>
      <c r="G52" s="56" t="s">
        <v>69</v>
      </c>
      <c r="H52" s="56" t="s">
        <v>1472</v>
      </c>
      <c r="I52" s="57">
        <v>20.0</v>
      </c>
    </row>
    <row r="53">
      <c r="A53" s="55" t="s">
        <v>1558</v>
      </c>
      <c r="B53" s="56">
        <v>5.0</v>
      </c>
      <c r="C53" s="56" t="s">
        <v>1473</v>
      </c>
      <c r="D53" s="56">
        <v>200.0</v>
      </c>
      <c r="E53" s="56" t="s">
        <v>1557</v>
      </c>
      <c r="F53" s="56">
        <v>18.0</v>
      </c>
      <c r="G53" s="56" t="s">
        <v>69</v>
      </c>
      <c r="H53" s="56" t="s">
        <v>1472</v>
      </c>
      <c r="I53" s="57">
        <v>10.0</v>
      </c>
    </row>
    <row r="54">
      <c r="A54" s="55" t="s">
        <v>1559</v>
      </c>
      <c r="B54" s="56">
        <v>4.0</v>
      </c>
      <c r="C54" s="56" t="s">
        <v>1560</v>
      </c>
      <c r="D54" s="56">
        <v>30.0</v>
      </c>
      <c r="E54" s="56" t="s">
        <v>1561</v>
      </c>
      <c r="F54" s="56">
        <v>13.0</v>
      </c>
      <c r="G54" s="56" t="s">
        <v>69</v>
      </c>
      <c r="H54" s="56" t="s">
        <v>148</v>
      </c>
      <c r="I54" s="57">
        <v>240.0</v>
      </c>
    </row>
    <row r="55">
      <c r="A55" s="55" t="s">
        <v>1562</v>
      </c>
      <c r="B55" s="56">
        <v>6.0</v>
      </c>
      <c r="C55" s="56" t="s">
        <v>1563</v>
      </c>
      <c r="D55" s="56">
        <v>50.0</v>
      </c>
      <c r="E55" s="56" t="s">
        <v>1561</v>
      </c>
      <c r="F55" s="56">
        <v>13.0</v>
      </c>
      <c r="G55" s="56" t="s">
        <v>69</v>
      </c>
      <c r="H55" s="56" t="s">
        <v>1472</v>
      </c>
      <c r="I55" s="57">
        <v>2.0</v>
      </c>
    </row>
    <row r="56">
      <c r="A56" s="55" t="s">
        <v>1027</v>
      </c>
      <c r="B56" s="56">
        <v>1.0</v>
      </c>
      <c r="C56" s="56" t="s">
        <v>1564</v>
      </c>
      <c r="D56" s="56">
        <v>500.0</v>
      </c>
      <c r="E56" s="56" t="s">
        <v>1373</v>
      </c>
      <c r="F56" s="56">
        <v>13.0</v>
      </c>
      <c r="G56" s="56" t="s">
        <v>69</v>
      </c>
      <c r="H56" s="56" t="s">
        <v>1472</v>
      </c>
      <c r="I56" s="57">
        <v>15.0</v>
      </c>
    </row>
    <row r="57">
      <c r="A57" s="55" t="s">
        <v>1565</v>
      </c>
      <c r="B57" s="56">
        <v>1.0</v>
      </c>
      <c r="C57" s="56" t="s">
        <v>1566</v>
      </c>
      <c r="D57" s="56">
        <v>50.0</v>
      </c>
      <c r="E57" s="56" t="s">
        <v>1373</v>
      </c>
      <c r="F57" s="56">
        <v>5.0</v>
      </c>
      <c r="G57" s="56" t="s">
        <v>1567</v>
      </c>
      <c r="H57" s="56" t="s">
        <v>979</v>
      </c>
      <c r="I57" s="57">
        <v>20.0</v>
      </c>
    </row>
    <row r="58">
      <c r="A58" s="55" t="s">
        <v>1568</v>
      </c>
      <c r="B58" s="56">
        <v>3.0</v>
      </c>
      <c r="C58" s="56" t="s">
        <v>1569</v>
      </c>
      <c r="D58" s="56">
        <v>100.0</v>
      </c>
      <c r="E58" s="56" t="s">
        <v>1373</v>
      </c>
      <c r="F58" s="56">
        <v>5.0</v>
      </c>
      <c r="G58" s="56" t="s">
        <v>69</v>
      </c>
      <c r="H58" s="56" t="s">
        <v>1472</v>
      </c>
      <c r="I58" s="57">
        <v>30.0</v>
      </c>
    </row>
    <row r="59">
      <c r="A59" s="55" t="s">
        <v>600</v>
      </c>
      <c r="B59" s="56">
        <v>6.0</v>
      </c>
      <c r="C59" s="56" t="s">
        <v>1570</v>
      </c>
      <c r="D59" s="56">
        <v>180.0</v>
      </c>
      <c r="E59" s="56" t="s">
        <v>1571</v>
      </c>
      <c r="F59" s="56">
        <v>13.0</v>
      </c>
      <c r="G59" s="56" t="s">
        <v>69</v>
      </c>
      <c r="H59" s="56" t="s">
        <v>1472</v>
      </c>
      <c r="I59" s="57">
        <v>20.0</v>
      </c>
    </row>
    <row r="60">
      <c r="A60" s="55" t="s">
        <v>591</v>
      </c>
      <c r="B60" s="56">
        <v>5.0</v>
      </c>
      <c r="C60" s="56" t="s">
        <v>1572</v>
      </c>
      <c r="D60" s="56">
        <v>15.0</v>
      </c>
      <c r="E60" s="56" t="s">
        <v>1573</v>
      </c>
      <c r="F60" s="56">
        <v>13.0</v>
      </c>
      <c r="G60" s="56" t="s">
        <v>69</v>
      </c>
      <c r="H60" s="56" t="s">
        <v>1464</v>
      </c>
      <c r="I60" s="57">
        <v>30.0</v>
      </c>
    </row>
    <row r="61">
      <c r="A61" s="55" t="s">
        <v>580</v>
      </c>
      <c r="B61" s="56">
        <v>5.0</v>
      </c>
      <c r="C61" s="56" t="s">
        <v>1574</v>
      </c>
      <c r="D61" s="56">
        <v>5.0</v>
      </c>
      <c r="E61" s="56" t="s">
        <v>1573</v>
      </c>
      <c r="F61" s="56">
        <v>13.0</v>
      </c>
      <c r="G61" s="56" t="s">
        <v>69</v>
      </c>
      <c r="H61" s="56" t="s">
        <v>1575</v>
      </c>
      <c r="I61" s="57">
        <v>10.0</v>
      </c>
    </row>
    <row r="62">
      <c r="A62" s="58" t="s">
        <v>1576</v>
      </c>
      <c r="B62" s="56">
        <v>7.0</v>
      </c>
      <c r="C62" s="56" t="s">
        <v>1577</v>
      </c>
      <c r="D62" s="56">
        <v>20.0</v>
      </c>
      <c r="E62" s="56" t="s">
        <v>1578</v>
      </c>
      <c r="F62" s="56">
        <v>13.0</v>
      </c>
      <c r="G62" s="56" t="s">
        <v>69</v>
      </c>
      <c r="H62" s="56" t="s">
        <v>1472</v>
      </c>
      <c r="I62" s="57">
        <v>45.0</v>
      </c>
    </row>
    <row r="63">
      <c r="A63" s="55" t="s">
        <v>1579</v>
      </c>
      <c r="B63" s="56">
        <v>8.0</v>
      </c>
      <c r="C63" s="56" t="s">
        <v>1580</v>
      </c>
      <c r="D63" s="56">
        <v>10.0</v>
      </c>
      <c r="E63" s="56" t="s">
        <v>1578</v>
      </c>
      <c r="F63" s="56">
        <v>18.0</v>
      </c>
      <c r="G63" s="56" t="s">
        <v>69</v>
      </c>
      <c r="H63" s="56" t="s">
        <v>1472</v>
      </c>
      <c r="I63" s="57">
        <v>40.0</v>
      </c>
    </row>
    <row r="64">
      <c r="A64" s="55" t="s">
        <v>1267</v>
      </c>
      <c r="B64" s="56">
        <v>8.0</v>
      </c>
      <c r="C64" s="56" t="s">
        <v>1581</v>
      </c>
      <c r="D64" s="56">
        <v>120.0</v>
      </c>
      <c r="E64" s="56" t="s">
        <v>1582</v>
      </c>
      <c r="F64" s="56">
        <v>18.0</v>
      </c>
      <c r="G64" s="56" t="s">
        <v>1583</v>
      </c>
      <c r="H64" s="56" t="s">
        <v>1531</v>
      </c>
      <c r="I64" s="57">
        <v>15.0</v>
      </c>
    </row>
    <row r="65">
      <c r="A65" s="55" t="s">
        <v>1584</v>
      </c>
      <c r="B65" s="56">
        <v>7.0</v>
      </c>
      <c r="C65" s="56" t="s">
        <v>1585</v>
      </c>
      <c r="D65" s="56">
        <v>100.0</v>
      </c>
      <c r="E65" s="56" t="s">
        <v>1582</v>
      </c>
      <c r="F65" s="56">
        <v>18.0</v>
      </c>
      <c r="G65" s="56" t="s">
        <v>69</v>
      </c>
      <c r="H65" s="56" t="s">
        <v>1531</v>
      </c>
      <c r="I65" s="57">
        <v>10.0</v>
      </c>
    </row>
    <row r="66">
      <c r="A66" s="55" t="s">
        <v>1100</v>
      </c>
      <c r="B66" s="56">
        <v>9.0</v>
      </c>
      <c r="C66" s="56" t="s">
        <v>1586</v>
      </c>
      <c r="D66" s="56">
        <v>30.0</v>
      </c>
      <c r="E66" s="56" t="s">
        <v>1582</v>
      </c>
      <c r="F66" s="56">
        <v>18.0</v>
      </c>
      <c r="G66" s="56" t="s">
        <v>69</v>
      </c>
      <c r="H66" s="56" t="s">
        <v>1461</v>
      </c>
      <c r="I66" s="57">
        <v>5.0</v>
      </c>
    </row>
    <row r="67">
      <c r="A67" s="55" t="s">
        <v>997</v>
      </c>
      <c r="B67" s="56">
        <v>4.0</v>
      </c>
      <c r="C67" s="56" t="s">
        <v>1587</v>
      </c>
      <c r="D67" s="56">
        <v>30.0</v>
      </c>
      <c r="E67" s="56" t="s">
        <v>996</v>
      </c>
      <c r="F67" s="56">
        <v>18.0</v>
      </c>
      <c r="G67" s="56" t="s">
        <v>1530</v>
      </c>
      <c r="H67" s="56" t="s">
        <v>1472</v>
      </c>
      <c r="I67" s="57">
        <v>5.0</v>
      </c>
    </row>
    <row r="68">
      <c r="A68" s="55" t="s">
        <v>783</v>
      </c>
      <c r="B68" s="56">
        <v>5.0</v>
      </c>
      <c r="C68" s="56" t="s">
        <v>1588</v>
      </c>
      <c r="D68" s="56">
        <v>400.0</v>
      </c>
      <c r="E68" s="56" t="s">
        <v>996</v>
      </c>
      <c r="F68" s="56">
        <v>18.0</v>
      </c>
      <c r="G68" s="56" t="s">
        <v>69</v>
      </c>
      <c r="H68" s="56" t="s">
        <v>1531</v>
      </c>
      <c r="I68" s="57">
        <v>2.0</v>
      </c>
    </row>
    <row r="69">
      <c r="A69" s="55" t="s">
        <v>1589</v>
      </c>
      <c r="B69" s="56">
        <v>4.0</v>
      </c>
      <c r="C69" s="56" t="s">
        <v>1590</v>
      </c>
      <c r="D69" s="56">
        <v>20.0</v>
      </c>
      <c r="E69" s="56" t="s">
        <v>996</v>
      </c>
      <c r="F69" s="56">
        <v>18.0</v>
      </c>
      <c r="G69" s="56" t="s">
        <v>1549</v>
      </c>
      <c r="H69" s="56" t="s">
        <v>1461</v>
      </c>
      <c r="I69" s="57">
        <v>2.0</v>
      </c>
    </row>
    <row r="70">
      <c r="A70" s="55" t="s">
        <v>1591</v>
      </c>
      <c r="B70" s="56">
        <v>5.0</v>
      </c>
      <c r="C70" s="56" t="s">
        <v>1592</v>
      </c>
      <c r="D70" s="56">
        <v>80.0</v>
      </c>
      <c r="E70" s="56" t="s">
        <v>996</v>
      </c>
      <c r="F70" s="56">
        <v>18.0</v>
      </c>
      <c r="G70" s="56" t="s">
        <v>69</v>
      </c>
      <c r="H70" s="56" t="s">
        <v>1461</v>
      </c>
      <c r="I70" s="57">
        <v>2.0</v>
      </c>
    </row>
    <row r="71">
      <c r="A71" s="55" t="s">
        <v>1593</v>
      </c>
      <c r="B71" s="56">
        <v>6.0</v>
      </c>
      <c r="C71" s="56" t="s">
        <v>1594</v>
      </c>
      <c r="D71" s="56">
        <v>50.0</v>
      </c>
      <c r="E71" s="56" t="s">
        <v>996</v>
      </c>
      <c r="F71" s="56">
        <v>18.0</v>
      </c>
      <c r="G71" s="56" t="s">
        <v>69</v>
      </c>
      <c r="H71" s="56" t="s">
        <v>1461</v>
      </c>
      <c r="I71" s="57">
        <v>2.0</v>
      </c>
    </row>
    <row r="72">
      <c r="A72" s="55" t="s">
        <v>1118</v>
      </c>
      <c r="B72" s="56">
        <v>8.0</v>
      </c>
      <c r="C72" s="56" t="s">
        <v>1595</v>
      </c>
      <c r="D72" s="56">
        <v>3.0</v>
      </c>
      <c r="E72" s="56" t="s">
        <v>1117</v>
      </c>
      <c r="F72" s="56">
        <v>18.0</v>
      </c>
      <c r="G72" s="56" t="s">
        <v>69</v>
      </c>
      <c r="H72" s="56" t="s">
        <v>1596</v>
      </c>
      <c r="I72" s="57">
        <v>1.0</v>
      </c>
    </row>
    <row r="73">
      <c r="A73" s="55" t="s">
        <v>1597</v>
      </c>
      <c r="B73" s="56">
        <v>7.0</v>
      </c>
      <c r="C73" s="56" t="s">
        <v>1598</v>
      </c>
      <c r="D73" s="56">
        <v>65.0</v>
      </c>
      <c r="E73" s="56" t="s">
        <v>1488</v>
      </c>
      <c r="F73" s="56">
        <v>13.0</v>
      </c>
      <c r="G73" s="56" t="s">
        <v>551</v>
      </c>
      <c r="H73" s="56" t="s">
        <v>1599</v>
      </c>
      <c r="I73" s="57">
        <v>90.0</v>
      </c>
    </row>
    <row r="74">
      <c r="A74" s="55" t="s">
        <v>1600</v>
      </c>
      <c r="B74" s="56">
        <v>6.0</v>
      </c>
      <c r="C74" s="56" t="s">
        <v>1601</v>
      </c>
      <c r="D74" s="56">
        <v>180.0</v>
      </c>
      <c r="E74" s="56" t="s">
        <v>1488</v>
      </c>
      <c r="F74" s="56">
        <v>13.0</v>
      </c>
      <c r="G74" s="56" t="s">
        <v>69</v>
      </c>
      <c r="H74" s="56" t="s">
        <v>1489</v>
      </c>
      <c r="I74" s="57">
        <v>120.0</v>
      </c>
    </row>
    <row r="75">
      <c r="A75" s="55" t="s">
        <v>1602</v>
      </c>
      <c r="B75" s="56">
        <v>6.0</v>
      </c>
      <c r="C75" s="56" t="s">
        <v>1603</v>
      </c>
      <c r="D75" s="56">
        <v>100.0</v>
      </c>
      <c r="E75" s="56" t="s">
        <v>1488</v>
      </c>
      <c r="F75" s="56">
        <v>17.0</v>
      </c>
      <c r="G75" s="56" t="s">
        <v>69</v>
      </c>
      <c r="H75" s="56" t="s">
        <v>1604</v>
      </c>
      <c r="I75" s="57">
        <v>60.0</v>
      </c>
    </row>
    <row r="76">
      <c r="A76" s="55" t="s">
        <v>1605</v>
      </c>
      <c r="B76" s="56">
        <v>5.0</v>
      </c>
      <c r="C76" s="56" t="s">
        <v>1606</v>
      </c>
      <c r="D76" s="56">
        <v>250.0</v>
      </c>
      <c r="E76" s="56" t="s">
        <v>1488</v>
      </c>
      <c r="F76" s="56">
        <v>13.0</v>
      </c>
      <c r="G76" s="56" t="s">
        <v>1530</v>
      </c>
      <c r="H76" s="56" t="s">
        <v>1472</v>
      </c>
      <c r="I76" s="57">
        <v>30.0</v>
      </c>
    </row>
    <row r="77">
      <c r="A77" s="55" t="s">
        <v>1607</v>
      </c>
      <c r="B77" s="56">
        <v>6.0</v>
      </c>
      <c r="C77" s="56" t="s">
        <v>1608</v>
      </c>
      <c r="D77" s="56">
        <v>100.0</v>
      </c>
      <c r="E77" s="56" t="s">
        <v>1488</v>
      </c>
      <c r="F77" s="56">
        <v>13.0</v>
      </c>
      <c r="G77" s="56" t="s">
        <v>355</v>
      </c>
      <c r="H77" s="56" t="s">
        <v>1472</v>
      </c>
      <c r="I77" s="57">
        <v>40.0</v>
      </c>
    </row>
    <row r="78">
      <c r="A78" s="55" t="s">
        <v>1609</v>
      </c>
      <c r="B78" s="56">
        <v>4.0</v>
      </c>
      <c r="C78" s="56" t="s">
        <v>1610</v>
      </c>
      <c r="D78" s="56">
        <v>50.0</v>
      </c>
      <c r="E78" s="56" t="s">
        <v>1488</v>
      </c>
      <c r="F78" s="56">
        <v>10.0</v>
      </c>
      <c r="G78" s="56" t="s">
        <v>69</v>
      </c>
      <c r="H78" s="56" t="s">
        <v>1472</v>
      </c>
      <c r="I78" s="57">
        <v>30.0</v>
      </c>
    </row>
    <row r="79">
      <c r="A79" s="55" t="s">
        <v>1611</v>
      </c>
      <c r="B79" s="56">
        <v>5.0</v>
      </c>
      <c r="C79" s="56" t="s">
        <v>1612</v>
      </c>
      <c r="D79" s="56">
        <v>130.0</v>
      </c>
      <c r="E79" s="56" t="s">
        <v>1613</v>
      </c>
      <c r="F79" s="56">
        <v>13.0</v>
      </c>
      <c r="G79" s="56" t="s">
        <v>69</v>
      </c>
      <c r="H79" s="56" t="s">
        <v>1531</v>
      </c>
      <c r="I79" s="57">
        <v>40.0</v>
      </c>
    </row>
    <row r="80">
      <c r="A80" s="55" t="s">
        <v>1614</v>
      </c>
      <c r="B80" s="56">
        <v>5.0</v>
      </c>
      <c r="C80" s="56" t="s">
        <v>1615</v>
      </c>
      <c r="D80" s="56">
        <v>110.0</v>
      </c>
      <c r="E80" s="56" t="s">
        <v>1613</v>
      </c>
      <c r="F80" s="56">
        <v>13.0</v>
      </c>
      <c r="G80" s="56" t="s">
        <v>285</v>
      </c>
      <c r="H80" s="56" t="s">
        <v>1464</v>
      </c>
      <c r="I80" s="57">
        <v>60.0</v>
      </c>
    </row>
    <row r="81">
      <c r="A81" s="55" t="s">
        <v>1616</v>
      </c>
      <c r="B81" s="56">
        <v>5.0</v>
      </c>
      <c r="C81" s="56" t="s">
        <v>1615</v>
      </c>
      <c r="D81" s="56">
        <v>100.0</v>
      </c>
      <c r="E81" s="56" t="s">
        <v>1613</v>
      </c>
      <c r="F81" s="56">
        <v>13.0</v>
      </c>
      <c r="G81" s="56" t="s">
        <v>69</v>
      </c>
      <c r="H81" s="56" t="s">
        <v>1464</v>
      </c>
      <c r="I81" s="57">
        <v>60.0</v>
      </c>
    </row>
    <row r="82">
      <c r="A82" s="55" t="s">
        <v>1617</v>
      </c>
      <c r="B82" s="56">
        <v>2.0</v>
      </c>
      <c r="C82" s="56" t="s">
        <v>1618</v>
      </c>
      <c r="D82" s="56">
        <v>36.0</v>
      </c>
      <c r="E82" s="56" t="s">
        <v>1613</v>
      </c>
      <c r="F82" s="56">
        <v>13.0</v>
      </c>
      <c r="G82" s="56" t="s">
        <v>285</v>
      </c>
      <c r="H82" s="56" t="s">
        <v>1464</v>
      </c>
      <c r="I82" s="57">
        <v>40.0</v>
      </c>
    </row>
    <row r="83">
      <c r="A83" s="55" t="s">
        <v>1619</v>
      </c>
      <c r="B83" s="56">
        <v>3.0</v>
      </c>
      <c r="C83" s="56" t="s">
        <v>914</v>
      </c>
      <c r="D83" s="56">
        <v>20.0</v>
      </c>
      <c r="E83" s="56" t="s">
        <v>1457</v>
      </c>
      <c r="F83" s="56">
        <v>13.0</v>
      </c>
      <c r="G83" s="56" t="s">
        <v>45</v>
      </c>
      <c r="H83" s="56" t="s">
        <v>1461</v>
      </c>
      <c r="I83" s="57">
        <v>5.0</v>
      </c>
    </row>
    <row r="84">
      <c r="A84" s="55" t="s">
        <v>1004</v>
      </c>
      <c r="B84" s="56">
        <v>4.0</v>
      </c>
      <c r="C84" s="56" t="s">
        <v>1620</v>
      </c>
      <c r="D84" s="56">
        <v>5.0</v>
      </c>
      <c r="E84" s="56" t="s">
        <v>1007</v>
      </c>
      <c r="F84" s="56">
        <v>18.0</v>
      </c>
      <c r="G84" s="56" t="s">
        <v>69</v>
      </c>
      <c r="H84" s="56" t="s">
        <v>1461</v>
      </c>
      <c r="I84" s="57">
        <v>10.0</v>
      </c>
    </row>
    <row r="85">
      <c r="A85" s="55" t="s">
        <v>1621</v>
      </c>
      <c r="B85" s="56">
        <v>6.0</v>
      </c>
      <c r="C85" s="56" t="s">
        <v>1622</v>
      </c>
      <c r="D85" s="56">
        <v>100.0</v>
      </c>
      <c r="E85" s="56" t="s">
        <v>471</v>
      </c>
      <c r="F85" s="56">
        <v>13.0</v>
      </c>
      <c r="G85" s="56" t="s">
        <v>69</v>
      </c>
      <c r="H85" s="56" t="s">
        <v>1459</v>
      </c>
      <c r="I85" s="57">
        <v>10.0</v>
      </c>
    </row>
    <row r="86">
      <c r="A86" s="55" t="s">
        <v>1123</v>
      </c>
      <c r="B86" s="56">
        <v>2.0</v>
      </c>
      <c r="C86" s="56" t="s">
        <v>1623</v>
      </c>
      <c r="D86" s="56">
        <v>10.0</v>
      </c>
      <c r="E86" s="56" t="s">
        <v>855</v>
      </c>
      <c r="F86" s="56">
        <v>13.0</v>
      </c>
      <c r="G86" s="56" t="s">
        <v>41</v>
      </c>
      <c r="H86" s="56" t="s">
        <v>1514</v>
      </c>
      <c r="I86" s="57">
        <v>15.0</v>
      </c>
    </row>
    <row r="87">
      <c r="A87" s="55" t="s">
        <v>912</v>
      </c>
      <c r="B87" s="56">
        <v>6.0</v>
      </c>
      <c r="C87" s="56" t="s">
        <v>1624</v>
      </c>
      <c r="D87" s="56">
        <v>135.0</v>
      </c>
      <c r="E87" s="56" t="s">
        <v>471</v>
      </c>
      <c r="F87" s="56">
        <v>13.0</v>
      </c>
      <c r="G87" s="56" t="s">
        <v>69</v>
      </c>
      <c r="H87" s="56" t="s">
        <v>1455</v>
      </c>
      <c r="I87" s="57">
        <v>20.0</v>
      </c>
    </row>
    <row r="88">
      <c r="A88" s="55" t="s">
        <v>899</v>
      </c>
      <c r="B88" s="56">
        <v>2.0</v>
      </c>
      <c r="C88" s="56" t="s">
        <v>1625</v>
      </c>
      <c r="D88" s="56">
        <v>60.0</v>
      </c>
      <c r="E88" s="56" t="s">
        <v>1457</v>
      </c>
      <c r="F88" s="56">
        <v>13.0</v>
      </c>
      <c r="G88" s="56" t="s">
        <v>69</v>
      </c>
      <c r="H88" s="56" t="s">
        <v>1464</v>
      </c>
      <c r="I88" s="57">
        <v>5.0</v>
      </c>
    </row>
    <row r="89">
      <c r="A89" s="55" t="s">
        <v>1626</v>
      </c>
      <c r="B89" s="56">
        <v>1.0</v>
      </c>
      <c r="C89" s="56" t="s">
        <v>1627</v>
      </c>
      <c r="D89" s="56">
        <v>260.0</v>
      </c>
      <c r="E89" s="56" t="s">
        <v>1454</v>
      </c>
      <c r="F89" s="56">
        <v>13.0</v>
      </c>
      <c r="G89" s="56" t="s">
        <v>69</v>
      </c>
      <c r="H89" s="56" t="s">
        <v>979</v>
      </c>
      <c r="I89" s="57">
        <v>10.0</v>
      </c>
    </row>
    <row r="90">
      <c r="A90" s="55" t="s">
        <v>1628</v>
      </c>
      <c r="B90" s="56">
        <v>5.0</v>
      </c>
      <c r="C90" s="56" t="s">
        <v>1629</v>
      </c>
      <c r="D90" s="56">
        <v>300.0</v>
      </c>
      <c r="E90" s="56" t="s">
        <v>1454</v>
      </c>
      <c r="F90" s="56">
        <v>13.0</v>
      </c>
      <c r="G90" s="56" t="s">
        <v>45</v>
      </c>
      <c r="H90" s="56" t="s">
        <v>1455</v>
      </c>
      <c r="I90" s="57">
        <v>10.0</v>
      </c>
    </row>
    <row r="91">
      <c r="A91" s="55" t="s">
        <v>1630</v>
      </c>
      <c r="B91" s="56">
        <v>7.0</v>
      </c>
      <c r="C91" s="56" t="s">
        <v>1631</v>
      </c>
      <c r="D91" s="56">
        <v>30.0</v>
      </c>
      <c r="E91" s="56" t="s">
        <v>1454</v>
      </c>
      <c r="F91" s="56">
        <v>13.0</v>
      </c>
      <c r="G91" s="56" t="s">
        <v>383</v>
      </c>
      <c r="H91" s="56" t="s">
        <v>1455</v>
      </c>
      <c r="I91" s="57">
        <v>15.0</v>
      </c>
    </row>
    <row r="92">
      <c r="A92" s="55" t="s">
        <v>1632</v>
      </c>
      <c r="B92" s="56">
        <v>7.0</v>
      </c>
      <c r="C92" s="56" t="s">
        <v>1633</v>
      </c>
      <c r="D92" s="56">
        <v>2.0</v>
      </c>
      <c r="E92" s="56" t="s">
        <v>855</v>
      </c>
      <c r="F92" s="56">
        <v>13.0</v>
      </c>
      <c r="G92" s="56" t="s">
        <v>69</v>
      </c>
      <c r="H92" s="56" t="s">
        <v>1455</v>
      </c>
      <c r="I92" s="57">
        <v>15.0</v>
      </c>
    </row>
    <row r="93">
      <c r="A93" s="55" t="s">
        <v>1634</v>
      </c>
      <c r="B93" s="56">
        <v>7.0</v>
      </c>
      <c r="C93" s="56" t="s">
        <v>1635</v>
      </c>
      <c r="D93" s="56">
        <v>1.0</v>
      </c>
      <c r="E93" s="56" t="s">
        <v>855</v>
      </c>
      <c r="F93" s="56">
        <v>13.0</v>
      </c>
      <c r="G93" s="56" t="s">
        <v>69</v>
      </c>
      <c r="H93" s="56" t="s">
        <v>1455</v>
      </c>
      <c r="I93" s="57">
        <v>10.0</v>
      </c>
    </row>
    <row r="94">
      <c r="A94" s="55" t="s">
        <v>1636</v>
      </c>
      <c r="B94" s="56">
        <v>5.0</v>
      </c>
      <c r="C94" s="56" t="s">
        <v>1637</v>
      </c>
      <c r="D94" s="56">
        <v>300.0</v>
      </c>
      <c r="E94" s="56" t="s">
        <v>1454</v>
      </c>
      <c r="F94" s="56">
        <v>13.0</v>
      </c>
      <c r="G94" s="56" t="s">
        <v>551</v>
      </c>
      <c r="H94" s="56" t="s">
        <v>1469</v>
      </c>
      <c r="I94" s="57">
        <v>60.0</v>
      </c>
    </row>
    <row r="95">
      <c r="A95" s="55" t="s">
        <v>1638</v>
      </c>
      <c r="B95" s="56">
        <v>8.0</v>
      </c>
      <c r="C95" s="56" t="s">
        <v>1639</v>
      </c>
      <c r="D95" s="56">
        <v>600.0</v>
      </c>
      <c r="E95" s="56" t="s">
        <v>1454</v>
      </c>
      <c r="F95" s="56">
        <v>13.0</v>
      </c>
      <c r="G95" s="56" t="s">
        <v>551</v>
      </c>
      <c r="H95" s="56" t="s">
        <v>1455</v>
      </c>
      <c r="I95" s="57">
        <v>80.0</v>
      </c>
    </row>
    <row r="96">
      <c r="A96" s="55" t="s">
        <v>1640</v>
      </c>
      <c r="B96" s="56">
        <v>7.0</v>
      </c>
      <c r="C96" s="56" t="s">
        <v>1641</v>
      </c>
      <c r="D96" s="56">
        <v>500.0</v>
      </c>
      <c r="E96" s="56" t="s">
        <v>679</v>
      </c>
      <c r="F96" s="56">
        <v>13.0</v>
      </c>
      <c r="G96" s="56" t="s">
        <v>551</v>
      </c>
      <c r="H96" s="56" t="s">
        <v>1472</v>
      </c>
      <c r="I96" s="57">
        <v>40.0</v>
      </c>
    </row>
    <row r="97">
      <c r="A97" s="55" t="s">
        <v>1642</v>
      </c>
      <c r="B97" s="56">
        <v>4.0</v>
      </c>
      <c r="C97" s="56" t="s">
        <v>1643</v>
      </c>
      <c r="D97" s="56">
        <v>1000.0</v>
      </c>
      <c r="E97" s="56" t="s">
        <v>679</v>
      </c>
      <c r="F97" s="56">
        <v>13.0</v>
      </c>
      <c r="G97" s="56" t="s">
        <v>285</v>
      </c>
      <c r="H97" s="56" t="s">
        <v>1455</v>
      </c>
      <c r="I97" s="57">
        <v>20.0</v>
      </c>
    </row>
    <row r="98">
      <c r="A98" s="55" t="s">
        <v>1644</v>
      </c>
      <c r="B98" s="56">
        <v>5.0</v>
      </c>
      <c r="C98" s="56" t="s">
        <v>1645</v>
      </c>
      <c r="D98" s="56">
        <v>200.0</v>
      </c>
      <c r="E98" s="56" t="s">
        <v>679</v>
      </c>
      <c r="F98" s="56">
        <v>13.0</v>
      </c>
      <c r="G98" s="56" t="s">
        <v>69</v>
      </c>
      <c r="H98" s="56" t="s">
        <v>1455</v>
      </c>
      <c r="I98" s="57">
        <v>15.0</v>
      </c>
    </row>
    <row r="99">
      <c r="A99" s="55" t="s">
        <v>443</v>
      </c>
      <c r="B99" s="56">
        <v>3.0</v>
      </c>
      <c r="C99" s="56" t="s">
        <v>1646</v>
      </c>
      <c r="D99" s="56">
        <v>300.0</v>
      </c>
      <c r="E99" s="56" t="s">
        <v>679</v>
      </c>
      <c r="F99" s="56">
        <v>13.0</v>
      </c>
      <c r="G99" s="56" t="s">
        <v>69</v>
      </c>
      <c r="H99" s="56" t="s">
        <v>1472</v>
      </c>
      <c r="I99" s="57">
        <v>10.0</v>
      </c>
    </row>
    <row r="100">
      <c r="A100" s="55" t="s">
        <v>1647</v>
      </c>
      <c r="B100" s="56">
        <v>2.0</v>
      </c>
      <c r="C100" s="56" t="s">
        <v>1648</v>
      </c>
      <c r="D100" s="56">
        <v>200.0</v>
      </c>
      <c r="E100" s="56" t="s">
        <v>1495</v>
      </c>
      <c r="F100" s="56">
        <v>13.0</v>
      </c>
      <c r="G100" s="56" t="s">
        <v>69</v>
      </c>
      <c r="H100" s="56" t="s">
        <v>1461</v>
      </c>
      <c r="I100" s="57">
        <v>30.0</v>
      </c>
    </row>
    <row r="101">
      <c r="A101" s="55" t="s">
        <v>1649</v>
      </c>
      <c r="B101" s="56">
        <v>2.0</v>
      </c>
      <c r="C101" s="56" t="s">
        <v>1650</v>
      </c>
      <c r="D101" s="56">
        <v>100.0</v>
      </c>
      <c r="E101" s="56" t="s">
        <v>1495</v>
      </c>
      <c r="F101" s="56">
        <v>16.0</v>
      </c>
      <c r="G101" s="56" t="s">
        <v>69</v>
      </c>
      <c r="H101" s="56" t="s">
        <v>979</v>
      </c>
      <c r="I101" s="57">
        <v>40.0</v>
      </c>
    </row>
    <row r="102">
      <c r="A102" s="55" t="s">
        <v>977</v>
      </c>
      <c r="B102" s="56">
        <v>2.0</v>
      </c>
      <c r="C102" s="56" t="s">
        <v>1651</v>
      </c>
      <c r="D102" s="56">
        <v>50.0</v>
      </c>
      <c r="E102" s="56" t="s">
        <v>1495</v>
      </c>
      <c r="F102" s="56">
        <v>13.0</v>
      </c>
      <c r="G102" s="56" t="s">
        <v>69</v>
      </c>
      <c r="H102" s="56" t="s">
        <v>1472</v>
      </c>
      <c r="I102" s="57">
        <v>15.0</v>
      </c>
    </row>
    <row r="103">
      <c r="A103" s="55" t="s">
        <v>1313</v>
      </c>
      <c r="B103" s="56">
        <v>2.0</v>
      </c>
      <c r="C103" s="56" t="s">
        <v>1652</v>
      </c>
      <c r="D103" s="56">
        <v>30.0</v>
      </c>
      <c r="E103" s="56" t="s">
        <v>1495</v>
      </c>
      <c r="F103" s="56">
        <v>13.0</v>
      </c>
      <c r="G103" s="56" t="s">
        <v>69</v>
      </c>
      <c r="H103" s="56" t="s">
        <v>1472</v>
      </c>
      <c r="I103" s="57">
        <v>20.0</v>
      </c>
    </row>
    <row r="104">
      <c r="A104" s="55" t="s">
        <v>990</v>
      </c>
      <c r="B104" s="56">
        <v>2.0</v>
      </c>
      <c r="C104" s="56" t="s">
        <v>1653</v>
      </c>
      <c r="D104" s="56">
        <v>130.0</v>
      </c>
      <c r="E104" s="56" t="s">
        <v>1383</v>
      </c>
      <c r="F104" s="56">
        <v>13.0</v>
      </c>
      <c r="G104" s="56" t="s">
        <v>1654</v>
      </c>
      <c r="H104" s="56" t="s">
        <v>1472</v>
      </c>
      <c r="I104" s="57">
        <v>25.0</v>
      </c>
    </row>
    <row r="105">
      <c r="A105" s="55" t="s">
        <v>1655</v>
      </c>
      <c r="B105" s="56">
        <v>2.0</v>
      </c>
      <c r="C105" s="56" t="s">
        <v>1656</v>
      </c>
      <c r="D105" s="56">
        <v>30.0</v>
      </c>
      <c r="E105" s="56" t="s">
        <v>1383</v>
      </c>
      <c r="F105" s="56">
        <v>13.0</v>
      </c>
      <c r="G105" s="56" t="s">
        <v>69</v>
      </c>
      <c r="H105" s="56" t="s">
        <v>1464</v>
      </c>
      <c r="I105" s="57">
        <v>40.0</v>
      </c>
    </row>
    <row r="106">
      <c r="A106" s="55" t="s">
        <v>1206</v>
      </c>
      <c r="B106" s="56">
        <v>2.0</v>
      </c>
      <c r="C106" s="56" t="s">
        <v>1657</v>
      </c>
      <c r="D106" s="56">
        <v>4.0</v>
      </c>
      <c r="E106" s="56" t="s">
        <v>1383</v>
      </c>
      <c r="F106" s="56">
        <v>13.0</v>
      </c>
      <c r="G106" s="56" t="s">
        <v>69</v>
      </c>
      <c r="H106" s="56" t="s">
        <v>1472</v>
      </c>
      <c r="I106" s="57">
        <v>60.0</v>
      </c>
    </row>
    <row r="107">
      <c r="A107" s="55" t="s">
        <v>583</v>
      </c>
      <c r="B107" s="56">
        <v>3.0</v>
      </c>
      <c r="C107" s="56" t="s">
        <v>1658</v>
      </c>
      <c r="D107" s="56">
        <v>100.0</v>
      </c>
      <c r="E107" s="56" t="s">
        <v>1659</v>
      </c>
      <c r="F107" s="56">
        <v>13.0</v>
      </c>
      <c r="G107" s="56" t="s">
        <v>69</v>
      </c>
      <c r="H107" s="56" t="s">
        <v>1472</v>
      </c>
      <c r="I107" s="57">
        <v>30.0</v>
      </c>
    </row>
    <row r="108">
      <c r="A108" s="55" t="s">
        <v>1660</v>
      </c>
      <c r="B108" s="56">
        <v>3.0</v>
      </c>
      <c r="C108" s="56" t="s">
        <v>1661</v>
      </c>
      <c r="D108" s="56">
        <v>30.0</v>
      </c>
      <c r="E108" s="56" t="s">
        <v>1659</v>
      </c>
      <c r="F108" s="56">
        <v>13.0</v>
      </c>
      <c r="G108" s="56" t="s">
        <v>69</v>
      </c>
      <c r="H108" s="56" t="s">
        <v>979</v>
      </c>
      <c r="I108" s="57">
        <v>30.0</v>
      </c>
    </row>
    <row r="109">
      <c r="A109" s="55" t="s">
        <v>919</v>
      </c>
      <c r="B109" s="56">
        <v>2.0</v>
      </c>
      <c r="C109" s="56" t="s">
        <v>1662</v>
      </c>
      <c r="D109" s="56">
        <v>20.0</v>
      </c>
      <c r="E109" s="56" t="s">
        <v>1659</v>
      </c>
      <c r="F109" s="56">
        <v>13.0</v>
      </c>
      <c r="G109" s="56" t="s">
        <v>69</v>
      </c>
      <c r="H109" s="56" t="s">
        <v>1455</v>
      </c>
      <c r="I109" s="57">
        <v>10.0</v>
      </c>
    </row>
    <row r="110">
      <c r="A110" s="55" t="s">
        <v>1022</v>
      </c>
      <c r="B110" s="56">
        <v>1.0</v>
      </c>
      <c r="C110" s="56" t="s">
        <v>1663</v>
      </c>
      <c r="D110" s="56">
        <v>100.0</v>
      </c>
      <c r="E110" s="56" t="s">
        <v>1373</v>
      </c>
      <c r="F110" s="56">
        <v>13.0</v>
      </c>
      <c r="G110" s="56" t="s">
        <v>69</v>
      </c>
      <c r="H110" s="56" t="s">
        <v>1664</v>
      </c>
      <c r="I110" s="57">
        <v>30.0</v>
      </c>
    </row>
    <row r="111">
      <c r="A111" s="55" t="s">
        <v>1665</v>
      </c>
      <c r="B111" s="56">
        <v>2.0</v>
      </c>
      <c r="C111" s="56" t="s">
        <v>1666</v>
      </c>
      <c r="D111" s="56">
        <v>50.0</v>
      </c>
      <c r="E111" s="56" t="s">
        <v>1373</v>
      </c>
      <c r="F111" s="56">
        <v>13.0</v>
      </c>
      <c r="G111" s="56" t="s">
        <v>69</v>
      </c>
      <c r="H111" s="56" t="s">
        <v>1664</v>
      </c>
      <c r="I111" s="57">
        <v>20.0</v>
      </c>
    </row>
    <row r="112">
      <c r="A112" s="55" t="s">
        <v>1667</v>
      </c>
      <c r="B112" s="56">
        <v>1.0</v>
      </c>
      <c r="C112" s="56" t="s">
        <v>1668</v>
      </c>
      <c r="D112" s="56">
        <v>40.0</v>
      </c>
      <c r="E112" s="56" t="s">
        <v>1373</v>
      </c>
      <c r="F112" s="56">
        <v>13.0</v>
      </c>
      <c r="G112" s="56" t="s">
        <v>69</v>
      </c>
      <c r="H112" s="56" t="s">
        <v>1669</v>
      </c>
      <c r="I112" s="57">
        <v>30.0</v>
      </c>
    </row>
    <row r="113">
      <c r="A113" s="55" t="s">
        <v>1670</v>
      </c>
      <c r="B113" s="56">
        <v>3.0</v>
      </c>
      <c r="C113" s="56" t="s">
        <v>1671</v>
      </c>
      <c r="D113" s="56">
        <v>350.0</v>
      </c>
      <c r="E113" s="56" t="s">
        <v>1373</v>
      </c>
      <c r="F113" s="56">
        <v>13.0</v>
      </c>
      <c r="G113" s="56" t="s">
        <v>1672</v>
      </c>
      <c r="H113" s="56" t="s">
        <v>1472</v>
      </c>
      <c r="I113" s="57">
        <v>15.0</v>
      </c>
    </row>
    <row r="114">
      <c r="A114" s="55" t="s">
        <v>1673</v>
      </c>
      <c r="B114" s="56">
        <v>4.0</v>
      </c>
      <c r="C114" s="56" t="s">
        <v>1674</v>
      </c>
      <c r="D114" s="56">
        <v>8.0</v>
      </c>
      <c r="E114" s="56" t="s">
        <v>1373</v>
      </c>
      <c r="F114" s="56">
        <v>13.0</v>
      </c>
      <c r="G114" s="56" t="s">
        <v>69</v>
      </c>
      <c r="H114" s="56" t="s">
        <v>1464</v>
      </c>
      <c r="I114" s="57">
        <v>10.0</v>
      </c>
    </row>
    <row r="115">
      <c r="A115" s="55" t="s">
        <v>1675</v>
      </c>
      <c r="B115" s="56">
        <v>6.0</v>
      </c>
      <c r="C115" s="56" t="s">
        <v>1676</v>
      </c>
      <c r="D115" s="56">
        <v>90.0</v>
      </c>
      <c r="E115" s="56" t="s">
        <v>1677</v>
      </c>
      <c r="F115" s="56">
        <v>13.0</v>
      </c>
      <c r="G115" s="56" t="s">
        <v>383</v>
      </c>
      <c r="H115" s="56" t="s">
        <v>1455</v>
      </c>
      <c r="I115" s="57">
        <v>30.0</v>
      </c>
    </row>
    <row r="116">
      <c r="A116" s="55" t="s">
        <v>1678</v>
      </c>
      <c r="B116" s="56">
        <v>2.0</v>
      </c>
      <c r="C116" s="56" t="s">
        <v>1679</v>
      </c>
      <c r="D116" s="56">
        <v>90.0</v>
      </c>
      <c r="E116" s="56" t="s">
        <v>1677</v>
      </c>
      <c r="F116" s="56">
        <v>13.0</v>
      </c>
      <c r="G116" s="56" t="s">
        <v>69</v>
      </c>
      <c r="H116" s="56" t="s">
        <v>1459</v>
      </c>
      <c r="I116" s="57">
        <v>10.0</v>
      </c>
    </row>
    <row r="117">
      <c r="A117" s="55" t="s">
        <v>474</v>
      </c>
      <c r="B117" s="56">
        <v>1.0</v>
      </c>
      <c r="C117" s="56" t="s">
        <v>1680</v>
      </c>
      <c r="D117" s="56">
        <v>100.0</v>
      </c>
      <c r="E117" s="56" t="s">
        <v>1677</v>
      </c>
      <c r="F117" s="56">
        <v>13.0</v>
      </c>
      <c r="G117" s="56" t="s">
        <v>69</v>
      </c>
      <c r="H117" s="56" t="s">
        <v>1537</v>
      </c>
      <c r="I117" s="57">
        <v>40.0</v>
      </c>
    </row>
    <row r="118">
      <c r="A118" s="55" t="s">
        <v>1681</v>
      </c>
      <c r="B118" s="56">
        <v>1.0</v>
      </c>
      <c r="C118" s="56" t="s">
        <v>1682</v>
      </c>
      <c r="D118" s="56">
        <v>50.0</v>
      </c>
      <c r="E118" s="56" t="s">
        <v>1007</v>
      </c>
      <c r="F118" s="56">
        <v>13.0</v>
      </c>
      <c r="G118" s="56" t="s">
        <v>69</v>
      </c>
      <c r="H118" s="56" t="s">
        <v>1464</v>
      </c>
      <c r="I118" s="57">
        <v>30.0</v>
      </c>
    </row>
    <row r="119">
      <c r="A119" s="55" t="s">
        <v>1683</v>
      </c>
      <c r="B119" s="56">
        <v>3.0</v>
      </c>
      <c r="C119" s="56" t="s">
        <v>1684</v>
      </c>
      <c r="D119" s="56">
        <v>175.0</v>
      </c>
      <c r="E119" s="56" t="s">
        <v>1481</v>
      </c>
      <c r="F119" s="56">
        <v>13.0</v>
      </c>
      <c r="G119" s="56" t="s">
        <v>41</v>
      </c>
      <c r="H119" s="56" t="s">
        <v>1472</v>
      </c>
      <c r="I119" s="57">
        <v>15.0</v>
      </c>
    </row>
    <row r="120">
      <c r="A120" s="55" t="s">
        <v>1685</v>
      </c>
      <c r="B120" s="56">
        <v>2.0</v>
      </c>
      <c r="C120" s="56" t="s">
        <v>1668</v>
      </c>
      <c r="D120" s="56">
        <v>16.0</v>
      </c>
      <c r="E120" s="56" t="s">
        <v>1481</v>
      </c>
      <c r="F120" s="56">
        <v>13.0</v>
      </c>
      <c r="G120" s="56" t="s">
        <v>45</v>
      </c>
      <c r="H120" s="56" t="s">
        <v>1472</v>
      </c>
      <c r="I120" s="57">
        <v>15.0</v>
      </c>
    </row>
    <row r="121">
      <c r="A121" s="55" t="s">
        <v>1686</v>
      </c>
      <c r="B121" s="56">
        <v>2.0</v>
      </c>
      <c r="C121" s="56" t="s">
        <v>1668</v>
      </c>
      <c r="D121" s="56">
        <v>80.0</v>
      </c>
      <c r="E121" s="56" t="s">
        <v>1481</v>
      </c>
      <c r="F121" s="56">
        <v>13.0</v>
      </c>
      <c r="G121" s="56" t="s">
        <v>69</v>
      </c>
      <c r="H121" s="56" t="s">
        <v>1464</v>
      </c>
      <c r="I121" s="57">
        <v>20.0</v>
      </c>
    </row>
    <row r="122">
      <c r="A122" s="55" t="s">
        <v>1687</v>
      </c>
      <c r="B122" s="56">
        <v>2.0</v>
      </c>
      <c r="C122" s="56" t="s">
        <v>1688</v>
      </c>
      <c r="D122" s="56">
        <v>5.0</v>
      </c>
      <c r="E122" s="56" t="s">
        <v>1481</v>
      </c>
      <c r="F122" s="56">
        <v>13.0</v>
      </c>
      <c r="G122" s="56" t="s">
        <v>1567</v>
      </c>
      <c r="H122" s="56" t="s">
        <v>1464</v>
      </c>
      <c r="I122" s="57">
        <v>15.0</v>
      </c>
    </row>
    <row r="123">
      <c r="A123" s="55" t="s">
        <v>1037</v>
      </c>
      <c r="B123" s="56">
        <v>1.0</v>
      </c>
      <c r="C123" s="56" t="s">
        <v>1668</v>
      </c>
      <c r="D123" s="56">
        <v>200.0</v>
      </c>
      <c r="E123" s="56" t="s">
        <v>1481</v>
      </c>
      <c r="F123" s="56">
        <v>13.0</v>
      </c>
      <c r="G123" s="56" t="s">
        <v>69</v>
      </c>
      <c r="H123" s="56" t="s">
        <v>1461</v>
      </c>
      <c r="I123" s="57">
        <v>1.0</v>
      </c>
    </row>
    <row r="124">
      <c r="A124" s="55" t="s">
        <v>1689</v>
      </c>
      <c r="B124" s="56">
        <v>2.0</v>
      </c>
      <c r="C124" s="56" t="s">
        <v>1668</v>
      </c>
      <c r="D124" s="56">
        <v>150.0</v>
      </c>
      <c r="E124" s="56" t="s">
        <v>880</v>
      </c>
      <c r="F124" s="56">
        <v>13.0</v>
      </c>
      <c r="G124" s="56" t="s">
        <v>69</v>
      </c>
      <c r="H124" s="56" t="s">
        <v>1464</v>
      </c>
      <c r="I124" s="57">
        <v>40.0</v>
      </c>
    </row>
    <row r="125">
      <c r="A125" s="55" t="s">
        <v>1690</v>
      </c>
      <c r="B125" s="56">
        <v>3.0</v>
      </c>
      <c r="C125" s="56" t="s">
        <v>1691</v>
      </c>
      <c r="D125" s="56">
        <v>90.0</v>
      </c>
      <c r="E125" s="56" t="s">
        <v>880</v>
      </c>
      <c r="F125" s="56">
        <v>18.0</v>
      </c>
      <c r="G125" s="56" t="s">
        <v>69</v>
      </c>
      <c r="H125" s="56" t="s">
        <v>1464</v>
      </c>
      <c r="I125" s="57">
        <v>50.0</v>
      </c>
    </row>
    <row r="126">
      <c r="A126" s="55" t="s">
        <v>1692</v>
      </c>
      <c r="B126" s="56">
        <v>2.0</v>
      </c>
      <c r="C126" s="56" t="s">
        <v>1668</v>
      </c>
      <c r="D126" s="56">
        <v>200.0</v>
      </c>
      <c r="E126" s="56" t="s">
        <v>880</v>
      </c>
      <c r="F126" s="56">
        <v>13.0</v>
      </c>
      <c r="G126" s="56" t="s">
        <v>69</v>
      </c>
      <c r="H126" s="56" t="s">
        <v>1464</v>
      </c>
      <c r="I126" s="57">
        <v>40.0</v>
      </c>
    </row>
    <row r="127">
      <c r="A127" s="55" t="s">
        <v>1693</v>
      </c>
      <c r="B127" s="56">
        <v>3.0</v>
      </c>
      <c r="C127" s="56" t="s">
        <v>1694</v>
      </c>
      <c r="D127" s="56">
        <v>48.0</v>
      </c>
      <c r="E127" s="56" t="s">
        <v>880</v>
      </c>
      <c r="F127" s="56">
        <v>13.0</v>
      </c>
      <c r="G127" s="56" t="s">
        <v>69</v>
      </c>
      <c r="H127" s="56" t="s">
        <v>1464</v>
      </c>
      <c r="I127" s="57">
        <v>40.0</v>
      </c>
    </row>
    <row r="128">
      <c r="A128" s="55" t="s">
        <v>1695</v>
      </c>
      <c r="B128" s="56">
        <v>3.0</v>
      </c>
      <c r="C128" s="56" t="s">
        <v>1668</v>
      </c>
      <c r="D128" s="56">
        <v>30.0</v>
      </c>
      <c r="E128" s="56" t="s">
        <v>880</v>
      </c>
      <c r="F128" s="56">
        <v>13.0</v>
      </c>
      <c r="G128" s="56" t="s">
        <v>69</v>
      </c>
      <c r="H128" s="56" t="s">
        <v>1464</v>
      </c>
      <c r="I128" s="57">
        <v>30.0</v>
      </c>
    </row>
    <row r="129">
      <c r="A129" s="55" t="s">
        <v>1696</v>
      </c>
      <c r="B129" s="56">
        <v>2.0</v>
      </c>
      <c r="C129" s="56" t="s">
        <v>1668</v>
      </c>
      <c r="D129" s="56">
        <v>60.0</v>
      </c>
      <c r="E129" s="56" t="s">
        <v>880</v>
      </c>
      <c r="F129" s="56">
        <v>13.0</v>
      </c>
      <c r="G129" s="56" t="s">
        <v>69</v>
      </c>
      <c r="H129" s="56" t="s">
        <v>1464</v>
      </c>
      <c r="I129" s="57">
        <v>30.0</v>
      </c>
    </row>
    <row r="130">
      <c r="A130" s="55" t="s">
        <v>1697</v>
      </c>
      <c r="B130" s="56">
        <v>1.0</v>
      </c>
      <c r="C130" s="56" t="s">
        <v>1698</v>
      </c>
      <c r="D130" s="56">
        <v>25.0</v>
      </c>
      <c r="E130" s="56" t="s">
        <v>880</v>
      </c>
      <c r="F130" s="56">
        <v>13.0</v>
      </c>
      <c r="G130" s="56" t="s">
        <v>69</v>
      </c>
      <c r="H130" s="56" t="s">
        <v>1464</v>
      </c>
      <c r="I130" s="57">
        <v>30.0</v>
      </c>
    </row>
    <row r="131">
      <c r="A131" s="55" t="s">
        <v>1699</v>
      </c>
      <c r="B131" s="56">
        <v>4.0</v>
      </c>
      <c r="C131" s="56" t="s">
        <v>1700</v>
      </c>
      <c r="D131" s="56">
        <v>70.0</v>
      </c>
      <c r="E131" s="56" t="s">
        <v>148</v>
      </c>
      <c r="F131" s="56">
        <v>13.0</v>
      </c>
      <c r="G131" s="56" t="s">
        <v>69</v>
      </c>
      <c r="H131" s="56" t="s">
        <v>1455</v>
      </c>
      <c r="I131" s="57">
        <v>120.0</v>
      </c>
    </row>
    <row r="132">
      <c r="A132" s="55" t="s">
        <v>1701</v>
      </c>
      <c r="B132" s="56">
        <v>3.0</v>
      </c>
      <c r="C132" s="56" t="s">
        <v>1700</v>
      </c>
      <c r="D132" s="56">
        <v>50.0</v>
      </c>
      <c r="E132" s="56" t="s">
        <v>148</v>
      </c>
      <c r="F132" s="56">
        <v>13.0</v>
      </c>
      <c r="G132" s="56" t="s">
        <v>69</v>
      </c>
      <c r="H132" s="56" t="s">
        <v>148</v>
      </c>
      <c r="I132" s="57">
        <v>100.0</v>
      </c>
    </row>
    <row r="133">
      <c r="A133" s="55" t="s">
        <v>1702</v>
      </c>
      <c r="B133" s="56">
        <v>4.0</v>
      </c>
      <c r="C133" s="56" t="s">
        <v>1700</v>
      </c>
      <c r="D133" s="56">
        <v>50.0</v>
      </c>
      <c r="E133" s="56" t="s">
        <v>148</v>
      </c>
      <c r="F133" s="56">
        <v>13.0</v>
      </c>
      <c r="G133" s="56" t="s">
        <v>69</v>
      </c>
      <c r="H133" s="56" t="s">
        <v>1455</v>
      </c>
      <c r="I133" s="57">
        <v>120.0</v>
      </c>
    </row>
    <row r="134">
      <c r="A134" s="55" t="s">
        <v>1703</v>
      </c>
      <c r="B134" s="56">
        <v>3.0</v>
      </c>
      <c r="C134" s="56" t="s">
        <v>1546</v>
      </c>
      <c r="D134" s="56">
        <v>6.0</v>
      </c>
      <c r="E134" s="56" t="s">
        <v>1557</v>
      </c>
      <c r="F134" s="56">
        <v>16.0</v>
      </c>
      <c r="G134" s="56" t="s">
        <v>69</v>
      </c>
      <c r="H134" s="56" t="s">
        <v>1464</v>
      </c>
      <c r="I134" s="57">
        <v>40.0</v>
      </c>
    </row>
    <row r="135">
      <c r="A135" s="55" t="s">
        <v>1704</v>
      </c>
      <c r="B135" s="56">
        <v>2.0</v>
      </c>
      <c r="C135" s="56" t="s">
        <v>1705</v>
      </c>
      <c r="D135" s="56">
        <v>20.0</v>
      </c>
      <c r="E135" s="56" t="s">
        <v>1557</v>
      </c>
      <c r="F135" s="56">
        <v>16.0</v>
      </c>
      <c r="G135" s="56" t="s">
        <v>69</v>
      </c>
      <c r="H135" s="56" t="s">
        <v>148</v>
      </c>
      <c r="I135" s="57">
        <v>10.0</v>
      </c>
    </row>
    <row r="136">
      <c r="A136" s="55" t="s">
        <v>1706</v>
      </c>
      <c r="B136" s="56">
        <v>2.0</v>
      </c>
      <c r="C136" s="56" t="s">
        <v>1707</v>
      </c>
      <c r="D136" s="56">
        <v>100.0</v>
      </c>
      <c r="E136" s="56" t="s">
        <v>1557</v>
      </c>
      <c r="F136" s="56">
        <v>13.0</v>
      </c>
      <c r="G136" s="56" t="s">
        <v>69</v>
      </c>
      <c r="H136" s="56" t="s">
        <v>1461</v>
      </c>
      <c r="I136" s="57">
        <v>30.0</v>
      </c>
    </row>
    <row r="137">
      <c r="A137" s="55" t="s">
        <v>1708</v>
      </c>
      <c r="B137" s="56">
        <v>2.0</v>
      </c>
      <c r="C137" s="56" t="s">
        <v>1707</v>
      </c>
      <c r="D137" s="56">
        <v>50.0</v>
      </c>
      <c r="E137" s="56" t="s">
        <v>1557</v>
      </c>
      <c r="F137" s="56">
        <v>13.0</v>
      </c>
      <c r="G137" s="56" t="s">
        <v>41</v>
      </c>
      <c r="H137" s="56" t="s">
        <v>1472</v>
      </c>
      <c r="I137" s="57">
        <v>30.0</v>
      </c>
    </row>
    <row r="138">
      <c r="A138" s="55" t="s">
        <v>1709</v>
      </c>
      <c r="B138" s="56">
        <v>6.0</v>
      </c>
      <c r="C138" s="56" t="s">
        <v>1710</v>
      </c>
      <c r="D138" s="56">
        <v>5.0</v>
      </c>
      <c r="E138" s="56" t="s">
        <v>1561</v>
      </c>
      <c r="F138" s="56">
        <v>18.0</v>
      </c>
      <c r="G138" s="56" t="s">
        <v>69</v>
      </c>
      <c r="H138" s="56" t="s">
        <v>1464</v>
      </c>
      <c r="I138" s="57">
        <v>10.0</v>
      </c>
    </row>
    <row r="139">
      <c r="A139" s="55" t="s">
        <v>1711</v>
      </c>
      <c r="B139" s="56">
        <v>3.0</v>
      </c>
      <c r="C139" s="56" t="s">
        <v>1712</v>
      </c>
      <c r="D139" s="56">
        <v>10.0</v>
      </c>
      <c r="E139" s="56" t="s">
        <v>1561</v>
      </c>
      <c r="F139" s="56">
        <v>18.0</v>
      </c>
      <c r="G139" s="56" t="s">
        <v>1549</v>
      </c>
      <c r="H139" s="56" t="s">
        <v>1713</v>
      </c>
      <c r="I139" s="57">
        <v>5.0</v>
      </c>
    </row>
    <row r="140">
      <c r="A140" s="55" t="s">
        <v>1714</v>
      </c>
      <c r="B140" s="56">
        <v>8.0</v>
      </c>
      <c r="C140" s="56" t="s">
        <v>1715</v>
      </c>
      <c r="D140" s="56">
        <v>5.0</v>
      </c>
      <c r="E140" s="56" t="s">
        <v>961</v>
      </c>
      <c r="F140" s="56">
        <v>18.0</v>
      </c>
      <c r="G140" s="56" t="s">
        <v>69</v>
      </c>
      <c r="H140" s="56" t="s">
        <v>1464</v>
      </c>
      <c r="I140" s="57">
        <v>15.0</v>
      </c>
    </row>
    <row r="141">
      <c r="A141" s="55" t="s">
        <v>1716</v>
      </c>
      <c r="B141" s="56">
        <v>6.0</v>
      </c>
      <c r="C141" s="56" t="s">
        <v>1484</v>
      </c>
      <c r="D141" s="56">
        <v>20.0</v>
      </c>
      <c r="E141" s="56" t="s">
        <v>961</v>
      </c>
      <c r="F141" s="56">
        <v>18.0</v>
      </c>
      <c r="G141" s="56" t="s">
        <v>69</v>
      </c>
      <c r="H141" s="56" t="s">
        <v>1472</v>
      </c>
      <c r="I141" s="57">
        <v>10.0</v>
      </c>
    </row>
    <row r="142">
      <c r="A142" s="55" t="s">
        <v>1717</v>
      </c>
      <c r="B142" s="56">
        <v>5.0</v>
      </c>
      <c r="C142" s="56" t="s">
        <v>1718</v>
      </c>
      <c r="D142" s="56">
        <v>50.0</v>
      </c>
      <c r="E142" s="56" t="s">
        <v>961</v>
      </c>
      <c r="F142" s="56">
        <v>18.0</v>
      </c>
      <c r="G142" s="56" t="s">
        <v>69</v>
      </c>
      <c r="H142" s="56" t="s">
        <v>1472</v>
      </c>
      <c r="I142" s="57">
        <v>15.0</v>
      </c>
    </row>
    <row r="143">
      <c r="A143" s="55" t="s">
        <v>1719</v>
      </c>
      <c r="B143" s="56">
        <v>6.0</v>
      </c>
      <c r="C143" s="56" t="s">
        <v>1720</v>
      </c>
      <c r="D143" s="56">
        <v>100.0</v>
      </c>
      <c r="E143" s="56" t="s">
        <v>961</v>
      </c>
      <c r="F143" s="56">
        <v>18.0</v>
      </c>
      <c r="G143" s="56" t="s">
        <v>383</v>
      </c>
      <c r="H143" s="56" t="s">
        <v>1455</v>
      </c>
      <c r="I143" s="57">
        <v>10.0</v>
      </c>
    </row>
    <row r="144">
      <c r="A144" s="55" t="s">
        <v>1721</v>
      </c>
      <c r="B144" s="56">
        <v>7.0</v>
      </c>
      <c r="C144" s="56" t="s">
        <v>1722</v>
      </c>
      <c r="D144" s="56">
        <v>50.0</v>
      </c>
      <c r="E144" s="56" t="s">
        <v>961</v>
      </c>
      <c r="F144" s="56">
        <v>18.0</v>
      </c>
      <c r="G144" s="56" t="s">
        <v>45</v>
      </c>
      <c r="H144" s="56" t="s">
        <v>1472</v>
      </c>
      <c r="I144" s="57">
        <v>10.0</v>
      </c>
    </row>
    <row r="145">
      <c r="A145" s="55" t="s">
        <v>1723</v>
      </c>
      <c r="B145" s="56">
        <v>4.0</v>
      </c>
      <c r="C145" s="56" t="s">
        <v>1688</v>
      </c>
      <c r="D145" s="56">
        <v>10.0</v>
      </c>
      <c r="E145" s="56" t="s">
        <v>961</v>
      </c>
      <c r="F145" s="56">
        <v>18.0</v>
      </c>
      <c r="G145" s="56" t="s">
        <v>45</v>
      </c>
      <c r="H145" s="56" t="s">
        <v>1464</v>
      </c>
      <c r="I145" s="57">
        <v>10.0</v>
      </c>
    </row>
    <row r="146">
      <c r="A146" s="55" t="s">
        <v>1724</v>
      </c>
      <c r="B146" s="56">
        <v>7.0</v>
      </c>
      <c r="C146" s="56" t="s">
        <v>1725</v>
      </c>
      <c r="D146" s="56">
        <v>300.0</v>
      </c>
      <c r="E146" s="56" t="s">
        <v>961</v>
      </c>
      <c r="F146" s="56">
        <v>18.0</v>
      </c>
      <c r="G146" s="56" t="s">
        <v>1530</v>
      </c>
      <c r="H146" s="56" t="s">
        <v>1472</v>
      </c>
      <c r="I146" s="57">
        <v>20.0</v>
      </c>
    </row>
    <row r="147">
      <c r="A147" s="55" t="s">
        <v>1726</v>
      </c>
      <c r="B147" s="56">
        <v>9.0</v>
      </c>
      <c r="C147" s="56" t="s">
        <v>1727</v>
      </c>
      <c r="D147" s="56">
        <v>60.0</v>
      </c>
      <c r="E147" s="56" t="s">
        <v>961</v>
      </c>
      <c r="F147" s="56">
        <v>18.0</v>
      </c>
      <c r="G147" s="56" t="s">
        <v>383</v>
      </c>
      <c r="H147" s="56" t="s">
        <v>1575</v>
      </c>
      <c r="I147" s="57">
        <v>10.0</v>
      </c>
    </row>
    <row r="148">
      <c r="A148" s="55" t="s">
        <v>1728</v>
      </c>
      <c r="B148" s="56">
        <v>5.0</v>
      </c>
      <c r="C148" s="56" t="s">
        <v>1729</v>
      </c>
      <c r="D148" s="56">
        <v>50.0</v>
      </c>
      <c r="E148" s="56" t="s">
        <v>1730</v>
      </c>
      <c r="F148" s="56">
        <v>18.0</v>
      </c>
      <c r="G148" s="56" t="s">
        <v>1549</v>
      </c>
      <c r="H148" s="56" t="s">
        <v>1472</v>
      </c>
      <c r="I148" s="57">
        <v>15.0</v>
      </c>
    </row>
    <row r="149">
      <c r="A149" s="55" t="s">
        <v>1030</v>
      </c>
      <c r="B149" s="56">
        <v>4.0</v>
      </c>
      <c r="C149" s="56" t="s">
        <v>1731</v>
      </c>
      <c r="D149" s="56">
        <v>80.0</v>
      </c>
      <c r="E149" s="56" t="s">
        <v>1730</v>
      </c>
      <c r="F149" s="56">
        <v>18.0</v>
      </c>
      <c r="G149" s="56" t="s">
        <v>1732</v>
      </c>
      <c r="H149" s="56" t="s">
        <v>1531</v>
      </c>
      <c r="I149" s="57">
        <v>20.0</v>
      </c>
    </row>
    <row r="150">
      <c r="A150" s="55" t="s">
        <v>1733</v>
      </c>
      <c r="B150" s="56">
        <v>6.0</v>
      </c>
      <c r="C150" s="56" t="s">
        <v>1734</v>
      </c>
      <c r="D150" s="56">
        <v>10.0</v>
      </c>
      <c r="E150" s="56" t="s">
        <v>1730</v>
      </c>
      <c r="F150" s="56">
        <v>18.0</v>
      </c>
      <c r="G150" s="56" t="s">
        <v>1549</v>
      </c>
      <c r="H150" s="56" t="s">
        <v>1455</v>
      </c>
      <c r="I150" s="57">
        <v>10.0</v>
      </c>
    </row>
    <row r="151">
      <c r="A151" s="55" t="s">
        <v>809</v>
      </c>
      <c r="B151" s="56">
        <v>8.0</v>
      </c>
      <c r="C151" s="56" t="s">
        <v>1735</v>
      </c>
      <c r="D151" s="56">
        <v>60.0</v>
      </c>
      <c r="E151" s="56" t="s">
        <v>1730</v>
      </c>
      <c r="F151" s="56">
        <v>18.0</v>
      </c>
      <c r="G151" s="56" t="s">
        <v>69</v>
      </c>
      <c r="H151" s="56" t="s">
        <v>1461</v>
      </c>
      <c r="I151" s="57">
        <v>5.0</v>
      </c>
    </row>
    <row r="152">
      <c r="A152" s="55" t="s">
        <v>1045</v>
      </c>
      <c r="B152" s="56">
        <v>3.0</v>
      </c>
      <c r="C152" s="56" t="s">
        <v>1736</v>
      </c>
      <c r="D152" s="56">
        <v>10.0</v>
      </c>
      <c r="E152" s="56" t="s">
        <v>1044</v>
      </c>
      <c r="F152" s="56">
        <v>18.0</v>
      </c>
      <c r="G152" s="56" t="s">
        <v>1549</v>
      </c>
      <c r="H152" s="56" t="s">
        <v>1455</v>
      </c>
      <c r="I152" s="57">
        <v>15.0</v>
      </c>
    </row>
    <row r="153">
      <c r="A153" s="55" t="s">
        <v>1737</v>
      </c>
      <c r="B153" s="56">
        <v>3.0</v>
      </c>
      <c r="C153" s="56" t="s">
        <v>1736</v>
      </c>
      <c r="D153" s="56">
        <v>5.0</v>
      </c>
      <c r="E153" s="56" t="s">
        <v>1044</v>
      </c>
      <c r="F153" s="56">
        <v>18.0</v>
      </c>
      <c r="G153" s="56" t="s">
        <v>1549</v>
      </c>
      <c r="H153" s="56" t="s">
        <v>1455</v>
      </c>
      <c r="I153" s="57">
        <v>10.0</v>
      </c>
    </row>
    <row r="154">
      <c r="A154" s="55" t="s">
        <v>1738</v>
      </c>
      <c r="B154" s="56">
        <v>3.0</v>
      </c>
      <c r="C154" s="56" t="s">
        <v>1739</v>
      </c>
      <c r="D154" s="56">
        <v>200.0</v>
      </c>
      <c r="E154" s="56" t="s">
        <v>1044</v>
      </c>
      <c r="F154" s="56">
        <v>18.0</v>
      </c>
      <c r="G154" s="56" t="s">
        <v>69</v>
      </c>
      <c r="H154" s="56" t="s">
        <v>1459</v>
      </c>
      <c r="I154" s="57">
        <v>15.0</v>
      </c>
    </row>
    <row r="155">
      <c r="A155" s="55" t="s">
        <v>1740</v>
      </c>
      <c r="B155" s="56">
        <v>2.0</v>
      </c>
      <c r="C155" s="56" t="s">
        <v>1741</v>
      </c>
      <c r="D155" s="56">
        <v>500.0</v>
      </c>
      <c r="E155" s="56" t="s">
        <v>1516</v>
      </c>
      <c r="F155" s="56">
        <v>13.0</v>
      </c>
      <c r="G155" s="56" t="s">
        <v>69</v>
      </c>
      <c r="H155" s="56" t="s">
        <v>1461</v>
      </c>
      <c r="I155" s="57">
        <v>5.0</v>
      </c>
    </row>
    <row r="156">
      <c r="A156" s="55" t="s">
        <v>1742</v>
      </c>
      <c r="B156" s="56">
        <v>3.0</v>
      </c>
      <c r="C156" s="56" t="s">
        <v>1743</v>
      </c>
      <c r="D156" s="56">
        <v>140.0</v>
      </c>
      <c r="E156" s="56" t="s">
        <v>1516</v>
      </c>
      <c r="F156" s="56">
        <v>16.0</v>
      </c>
      <c r="G156" s="56" t="s">
        <v>1744</v>
      </c>
      <c r="H156" s="56" t="s">
        <v>1455</v>
      </c>
      <c r="I156" s="57">
        <v>30.0</v>
      </c>
    </row>
    <row r="157">
      <c r="A157" s="55" t="s">
        <v>1745</v>
      </c>
      <c r="B157" s="56">
        <v>2.0</v>
      </c>
      <c r="C157" s="56" t="s">
        <v>1746</v>
      </c>
      <c r="D157" s="56">
        <v>20.0</v>
      </c>
      <c r="E157" s="56" t="s">
        <v>1516</v>
      </c>
      <c r="F157" s="56">
        <v>13.0</v>
      </c>
      <c r="G157" s="56" t="s">
        <v>1530</v>
      </c>
      <c r="H157" s="56" t="s">
        <v>1461</v>
      </c>
      <c r="I157" s="57">
        <v>20.0</v>
      </c>
    </row>
    <row r="158">
      <c r="A158" s="55" t="s">
        <v>1747</v>
      </c>
      <c r="B158" s="56">
        <v>3.0</v>
      </c>
      <c r="C158" s="56" t="s">
        <v>1748</v>
      </c>
      <c r="D158" s="56">
        <v>1000.0</v>
      </c>
      <c r="E158" s="56" t="s">
        <v>1524</v>
      </c>
      <c r="F158" s="56">
        <v>13.0</v>
      </c>
      <c r="G158" s="56" t="s">
        <v>69</v>
      </c>
      <c r="H158" s="56" t="s">
        <v>1472</v>
      </c>
      <c r="I158" s="57">
        <v>10.0</v>
      </c>
    </row>
    <row r="159">
      <c r="A159" s="55" t="s">
        <v>1749</v>
      </c>
      <c r="B159" s="56">
        <v>3.0</v>
      </c>
      <c r="C159" s="56" t="s">
        <v>1748</v>
      </c>
      <c r="D159" s="56">
        <v>500.0</v>
      </c>
      <c r="E159" s="56" t="s">
        <v>1524</v>
      </c>
      <c r="F159" s="56">
        <v>13.0</v>
      </c>
      <c r="G159" s="56" t="s">
        <v>69</v>
      </c>
      <c r="H159" s="56" t="s">
        <v>1472</v>
      </c>
      <c r="I159" s="57">
        <v>10.0</v>
      </c>
    </row>
    <row r="160">
      <c r="A160" s="55" t="s">
        <v>1750</v>
      </c>
      <c r="B160" s="56">
        <v>2.0</v>
      </c>
      <c r="C160" s="56" t="s">
        <v>1751</v>
      </c>
      <c r="D160" s="56">
        <v>50.0</v>
      </c>
      <c r="E160" s="56" t="s">
        <v>1524</v>
      </c>
      <c r="F160" s="56">
        <v>13.0</v>
      </c>
      <c r="G160" s="56" t="s">
        <v>69</v>
      </c>
      <c r="H160" s="56" t="s">
        <v>979</v>
      </c>
      <c r="I160" s="57">
        <v>10.0</v>
      </c>
    </row>
    <row r="161">
      <c r="A161" s="55" t="s">
        <v>1752</v>
      </c>
      <c r="B161" s="56">
        <v>3.0</v>
      </c>
      <c r="C161" s="56" t="s">
        <v>1753</v>
      </c>
      <c r="D161" s="56">
        <v>80.0</v>
      </c>
      <c r="E161" s="56" t="s">
        <v>1524</v>
      </c>
      <c r="F161" s="56">
        <v>13.0</v>
      </c>
      <c r="G161" s="56" t="s">
        <v>359</v>
      </c>
      <c r="H161" s="56" t="s">
        <v>1472</v>
      </c>
      <c r="I161" s="57">
        <v>5.0</v>
      </c>
    </row>
    <row r="162">
      <c r="A162" s="55" t="s">
        <v>1754</v>
      </c>
      <c r="B162" s="56">
        <v>6.0</v>
      </c>
      <c r="C162" s="56" t="s">
        <v>1629</v>
      </c>
      <c r="D162" s="56">
        <v>200.0</v>
      </c>
      <c r="E162" s="56" t="s">
        <v>1524</v>
      </c>
      <c r="F162" s="56">
        <v>13.0</v>
      </c>
      <c r="G162" s="56" t="s">
        <v>1755</v>
      </c>
      <c r="H162" s="56" t="s">
        <v>1472</v>
      </c>
      <c r="I162" s="57">
        <v>5.0</v>
      </c>
    </row>
    <row r="163">
      <c r="A163" s="55" t="s">
        <v>1185</v>
      </c>
      <c r="B163" s="56">
        <v>7.0</v>
      </c>
      <c r="C163" s="56" t="s">
        <v>1756</v>
      </c>
      <c r="D163" s="56">
        <v>5.0</v>
      </c>
      <c r="E163" s="56" t="s">
        <v>822</v>
      </c>
      <c r="F163" s="56">
        <v>13.0</v>
      </c>
      <c r="G163" s="56" t="s">
        <v>69</v>
      </c>
      <c r="H163" s="56" t="s">
        <v>1514</v>
      </c>
      <c r="I163" s="57">
        <v>20.0</v>
      </c>
    </row>
    <row r="164">
      <c r="A164" s="55" t="s">
        <v>1084</v>
      </c>
      <c r="B164" s="56">
        <v>2.0</v>
      </c>
      <c r="C164" s="56" t="s">
        <v>1757</v>
      </c>
      <c r="D164" s="56">
        <v>60.0</v>
      </c>
      <c r="E164" s="56" t="s">
        <v>822</v>
      </c>
      <c r="F164" s="56">
        <v>13.0</v>
      </c>
      <c r="G164" s="56" t="s">
        <v>69</v>
      </c>
      <c r="H164" s="56" t="s">
        <v>1758</v>
      </c>
      <c r="I164" s="57">
        <v>40.0</v>
      </c>
    </row>
    <row r="165">
      <c r="A165" s="55" t="s">
        <v>1340</v>
      </c>
      <c r="B165" s="56">
        <v>3.0</v>
      </c>
      <c r="C165" s="56" t="s">
        <v>1759</v>
      </c>
      <c r="D165" s="56">
        <v>350.0</v>
      </c>
      <c r="E165" s="56" t="s">
        <v>822</v>
      </c>
      <c r="F165" s="56">
        <v>13.0</v>
      </c>
      <c r="G165" s="56" t="s">
        <v>1567</v>
      </c>
      <c r="H165" s="56" t="s">
        <v>1455</v>
      </c>
      <c r="I165" s="57">
        <v>40.0</v>
      </c>
    </row>
    <row r="166">
      <c r="A166" s="55" t="s">
        <v>1760</v>
      </c>
      <c r="B166" s="56">
        <v>1.0</v>
      </c>
      <c r="C166" s="56" t="s">
        <v>1668</v>
      </c>
      <c r="D166" s="56">
        <v>200.0</v>
      </c>
      <c r="E166" s="56" t="s">
        <v>822</v>
      </c>
      <c r="F166" s="56">
        <v>13.0</v>
      </c>
      <c r="G166" s="56" t="s">
        <v>69</v>
      </c>
      <c r="H166" s="56" t="s">
        <v>1514</v>
      </c>
      <c r="I166" s="57">
        <v>40.0</v>
      </c>
    </row>
    <row r="167">
      <c r="A167" s="55" t="s">
        <v>1761</v>
      </c>
      <c r="B167" s="56">
        <v>3.0</v>
      </c>
      <c r="C167" s="56" t="s">
        <v>1762</v>
      </c>
      <c r="D167" s="56">
        <v>200.0</v>
      </c>
      <c r="E167" s="56" t="s">
        <v>822</v>
      </c>
      <c r="F167" s="56">
        <v>13.0</v>
      </c>
      <c r="G167" s="56" t="s">
        <v>69</v>
      </c>
      <c r="H167" s="56" t="s">
        <v>1459</v>
      </c>
      <c r="I167" s="57">
        <v>40.0</v>
      </c>
    </row>
    <row r="168">
      <c r="A168" s="55" t="s">
        <v>1763</v>
      </c>
      <c r="B168" s="56">
        <v>2.0</v>
      </c>
      <c r="C168" s="56" t="s">
        <v>1668</v>
      </c>
      <c r="D168" s="56">
        <v>1000.0</v>
      </c>
      <c r="E168" s="56" t="s">
        <v>822</v>
      </c>
      <c r="F168" s="56">
        <v>13.0</v>
      </c>
      <c r="G168" s="56" t="s">
        <v>69</v>
      </c>
      <c r="H168" s="56" t="s">
        <v>148</v>
      </c>
      <c r="I168" s="57">
        <v>30.0</v>
      </c>
    </row>
    <row r="169">
      <c r="A169" s="55" t="s">
        <v>1230</v>
      </c>
      <c r="B169" s="56">
        <v>1.0</v>
      </c>
      <c r="C169" s="56" t="s">
        <v>1668</v>
      </c>
      <c r="D169" s="56">
        <v>80.0</v>
      </c>
      <c r="E169" s="56" t="s">
        <v>1764</v>
      </c>
      <c r="F169" s="56">
        <v>13.0</v>
      </c>
      <c r="G169" s="56" t="s">
        <v>69</v>
      </c>
      <c r="H169" s="56" t="s">
        <v>1455</v>
      </c>
      <c r="I169" s="57">
        <v>5.0</v>
      </c>
    </row>
    <row r="170">
      <c r="A170" s="55" t="s">
        <v>1765</v>
      </c>
      <c r="B170" s="56">
        <v>3.0</v>
      </c>
      <c r="C170" s="56" t="s">
        <v>1766</v>
      </c>
      <c r="D170" s="56">
        <v>100.0</v>
      </c>
      <c r="E170" s="56" t="s">
        <v>1764</v>
      </c>
      <c r="F170" s="56">
        <v>13.0</v>
      </c>
      <c r="G170" s="56" t="s">
        <v>69</v>
      </c>
      <c r="H170" s="56" t="s">
        <v>1455</v>
      </c>
      <c r="I170" s="57">
        <v>5.0</v>
      </c>
    </row>
    <row r="171">
      <c r="A171" s="55" t="s">
        <v>1767</v>
      </c>
      <c r="B171" s="56">
        <v>6.0</v>
      </c>
      <c r="C171" s="56" t="s">
        <v>1768</v>
      </c>
      <c r="D171" s="56">
        <v>100.0</v>
      </c>
      <c r="E171" s="56" t="s">
        <v>1764</v>
      </c>
      <c r="F171" s="56">
        <v>13.0</v>
      </c>
      <c r="G171" s="56" t="s">
        <v>1512</v>
      </c>
      <c r="H171" s="56" t="s">
        <v>1455</v>
      </c>
      <c r="I171" s="57">
        <v>20.0</v>
      </c>
    </row>
    <row r="172">
      <c r="A172" s="55" t="s">
        <v>1769</v>
      </c>
      <c r="B172" s="56">
        <v>7.0</v>
      </c>
      <c r="C172" s="56" t="s">
        <v>1770</v>
      </c>
      <c r="D172" s="56">
        <v>600.0</v>
      </c>
      <c r="E172" s="56" t="s">
        <v>1764</v>
      </c>
      <c r="F172" s="56">
        <v>13.0</v>
      </c>
      <c r="G172" s="56" t="s">
        <v>551</v>
      </c>
      <c r="H172" s="56" t="s">
        <v>1455</v>
      </c>
      <c r="I172" s="57">
        <v>15.0</v>
      </c>
    </row>
    <row r="173">
      <c r="A173" s="55" t="s">
        <v>1771</v>
      </c>
      <c r="B173" s="56">
        <v>1.0</v>
      </c>
      <c r="C173" s="56" t="s">
        <v>1513</v>
      </c>
      <c r="D173" s="56">
        <v>50.0</v>
      </c>
      <c r="E173" s="56" t="s">
        <v>227</v>
      </c>
      <c r="F173" s="56">
        <v>13.0</v>
      </c>
      <c r="G173" s="56" t="s">
        <v>1772</v>
      </c>
      <c r="H173" s="56" t="s">
        <v>1472</v>
      </c>
      <c r="I173" s="57">
        <v>10.0</v>
      </c>
    </row>
    <row r="174">
      <c r="A174" s="55" t="s">
        <v>1773</v>
      </c>
      <c r="B174" s="56">
        <v>1.0</v>
      </c>
      <c r="C174" s="56" t="s">
        <v>1668</v>
      </c>
      <c r="D174" s="56">
        <v>10.0</v>
      </c>
      <c r="E174" s="56" t="s">
        <v>227</v>
      </c>
      <c r="F174" s="56">
        <v>13.0</v>
      </c>
      <c r="G174" s="56" t="s">
        <v>41</v>
      </c>
      <c r="H174" s="56" t="s">
        <v>1472</v>
      </c>
      <c r="I174" s="57">
        <v>5.0</v>
      </c>
    </row>
    <row r="175">
      <c r="A175" s="55" t="s">
        <v>1774</v>
      </c>
      <c r="B175" s="56">
        <v>8.0</v>
      </c>
      <c r="C175" s="56" t="s">
        <v>1775</v>
      </c>
      <c r="D175" s="56">
        <v>30.0</v>
      </c>
      <c r="E175" s="56" t="s">
        <v>798</v>
      </c>
      <c r="F175" s="56">
        <v>13.0</v>
      </c>
      <c r="G175" s="56" t="s">
        <v>69</v>
      </c>
      <c r="H175" s="56" t="s">
        <v>1464</v>
      </c>
      <c r="I175" s="57">
        <v>1.0</v>
      </c>
    </row>
    <row r="176">
      <c r="A176" s="55" t="s">
        <v>1776</v>
      </c>
      <c r="B176" s="56">
        <v>2.0</v>
      </c>
      <c r="C176" s="56" t="s">
        <v>1668</v>
      </c>
      <c r="D176" s="56">
        <v>15.0</v>
      </c>
      <c r="E176" s="56" t="s">
        <v>798</v>
      </c>
      <c r="F176" s="56">
        <v>13.0</v>
      </c>
      <c r="G176" s="56" t="s">
        <v>383</v>
      </c>
      <c r="H176" s="56" t="s">
        <v>1464</v>
      </c>
      <c r="I176" s="57">
        <v>1.0</v>
      </c>
    </row>
    <row r="177">
      <c r="A177" s="55" t="s">
        <v>1777</v>
      </c>
      <c r="B177" s="56">
        <v>1.0</v>
      </c>
      <c r="C177" s="56" t="s">
        <v>1668</v>
      </c>
      <c r="D177" s="56">
        <v>5.0</v>
      </c>
      <c r="E177" s="56" t="s">
        <v>798</v>
      </c>
      <c r="F177" s="56">
        <v>13.0</v>
      </c>
      <c r="G177" s="56" t="s">
        <v>69</v>
      </c>
      <c r="H177" s="56" t="s">
        <v>1472</v>
      </c>
      <c r="I177" s="57">
        <v>1.0</v>
      </c>
    </row>
    <row r="178">
      <c r="A178" s="55" t="s">
        <v>1778</v>
      </c>
      <c r="B178" s="56">
        <v>3.0</v>
      </c>
      <c r="C178" s="56" t="s">
        <v>1779</v>
      </c>
      <c r="D178" s="56">
        <v>15.0</v>
      </c>
      <c r="E178" s="56" t="s">
        <v>798</v>
      </c>
      <c r="F178" s="56">
        <v>13.0</v>
      </c>
      <c r="G178" s="56" t="s">
        <v>1780</v>
      </c>
      <c r="H178" s="56" t="s">
        <v>1464</v>
      </c>
      <c r="I178" s="57">
        <v>60.0</v>
      </c>
    </row>
    <row r="179">
      <c r="A179" s="55" t="s">
        <v>1781</v>
      </c>
      <c r="B179" s="56">
        <v>3.0</v>
      </c>
      <c r="C179" s="56" t="s">
        <v>1782</v>
      </c>
      <c r="D179" s="56">
        <v>4.0</v>
      </c>
      <c r="E179" s="56" t="s">
        <v>798</v>
      </c>
      <c r="F179" s="56">
        <v>13.0</v>
      </c>
      <c r="G179" s="56" t="s">
        <v>1783</v>
      </c>
      <c r="H179" s="56" t="s">
        <v>1464</v>
      </c>
      <c r="I179" s="57">
        <v>60.0</v>
      </c>
    </row>
    <row r="180">
      <c r="A180" s="55" t="s">
        <v>1784</v>
      </c>
      <c r="B180" s="56">
        <v>5.0</v>
      </c>
      <c r="C180" s="56" t="s">
        <v>1785</v>
      </c>
      <c r="D180" s="56">
        <v>400.0</v>
      </c>
      <c r="E180" s="56" t="s">
        <v>798</v>
      </c>
      <c r="F180" s="56">
        <v>13.0</v>
      </c>
      <c r="G180" s="56" t="s">
        <v>1786</v>
      </c>
      <c r="H180" s="56" t="s">
        <v>1472</v>
      </c>
      <c r="I180" s="57">
        <v>0.0</v>
      </c>
    </row>
    <row r="181">
      <c r="A181" s="55" t="s">
        <v>1787</v>
      </c>
      <c r="B181" s="56">
        <v>7.0</v>
      </c>
      <c r="C181" s="56" t="s">
        <v>1788</v>
      </c>
      <c r="D181" s="56">
        <v>400.0</v>
      </c>
      <c r="E181" s="56" t="s">
        <v>798</v>
      </c>
      <c r="F181" s="56">
        <v>13.0</v>
      </c>
      <c r="G181" s="56" t="s">
        <v>1512</v>
      </c>
      <c r="H181" s="56" t="s">
        <v>1664</v>
      </c>
      <c r="I181" s="57">
        <v>0.0</v>
      </c>
    </row>
    <row r="182">
      <c r="A182" s="55" t="s">
        <v>1789</v>
      </c>
      <c r="B182" s="56">
        <v>4.0</v>
      </c>
      <c r="C182" s="56" t="s">
        <v>1790</v>
      </c>
      <c r="D182" s="56">
        <v>500.0</v>
      </c>
      <c r="E182" s="56" t="s">
        <v>798</v>
      </c>
      <c r="F182" s="56">
        <v>13.0</v>
      </c>
      <c r="G182" s="56" t="s">
        <v>69</v>
      </c>
      <c r="H182" s="56" t="s">
        <v>1664</v>
      </c>
      <c r="I182" s="57">
        <v>0.0</v>
      </c>
    </row>
    <row r="183">
      <c r="A183" s="55" t="s">
        <v>1791</v>
      </c>
      <c r="B183" s="56">
        <v>4.0</v>
      </c>
      <c r="C183" s="56" t="s">
        <v>1792</v>
      </c>
      <c r="D183" s="56">
        <v>50.0</v>
      </c>
      <c r="E183" s="56" t="s">
        <v>798</v>
      </c>
      <c r="F183" s="56">
        <v>13.0</v>
      </c>
      <c r="G183" s="56" t="s">
        <v>69</v>
      </c>
      <c r="H183" s="56" t="s">
        <v>1664</v>
      </c>
      <c r="I183" s="57">
        <v>0.0</v>
      </c>
    </row>
    <row r="184">
      <c r="A184" s="55" t="s">
        <v>1793</v>
      </c>
      <c r="B184" s="56">
        <v>6.0</v>
      </c>
      <c r="C184" s="56" t="s">
        <v>1794</v>
      </c>
      <c r="D184" s="56">
        <v>200.0</v>
      </c>
      <c r="E184" s="56" t="s">
        <v>1516</v>
      </c>
      <c r="F184" s="56">
        <v>13.0</v>
      </c>
      <c r="G184" s="56" t="s">
        <v>41</v>
      </c>
      <c r="H184" s="56" t="s">
        <v>1472</v>
      </c>
      <c r="I184" s="57">
        <v>10.0</v>
      </c>
    </row>
    <row r="185">
      <c r="A185" s="55" t="s">
        <v>1795</v>
      </c>
      <c r="B185" s="56">
        <v>6.0</v>
      </c>
      <c r="C185" s="56" t="s">
        <v>1794</v>
      </c>
      <c r="D185" s="56">
        <v>100.0</v>
      </c>
      <c r="E185" s="56" t="s">
        <v>1516</v>
      </c>
      <c r="F185" s="56">
        <v>13.0</v>
      </c>
      <c r="G185" s="56" t="s">
        <v>41</v>
      </c>
      <c r="H185" s="56" t="s">
        <v>1472</v>
      </c>
      <c r="I185" s="57">
        <v>10.0</v>
      </c>
    </row>
    <row r="186">
      <c r="A186" s="55" t="s">
        <v>985</v>
      </c>
      <c r="B186" s="56">
        <v>2.0</v>
      </c>
      <c r="C186" s="56" t="s">
        <v>1796</v>
      </c>
      <c r="D186" s="56">
        <v>15.0</v>
      </c>
      <c r="E186" s="56" t="s">
        <v>82</v>
      </c>
      <c r="F186" s="56">
        <v>18.0</v>
      </c>
      <c r="G186" s="56" t="s">
        <v>69</v>
      </c>
      <c r="H186" s="56" t="s">
        <v>979</v>
      </c>
      <c r="I186" s="57">
        <v>60.0</v>
      </c>
    </row>
    <row r="187">
      <c r="A187" s="55" t="s">
        <v>1797</v>
      </c>
      <c r="B187" s="56">
        <v>2.0</v>
      </c>
      <c r="C187" s="56" t="s">
        <v>1798</v>
      </c>
      <c r="D187" s="56">
        <v>20.0</v>
      </c>
      <c r="E187" s="56" t="s">
        <v>82</v>
      </c>
      <c r="F187" s="56">
        <v>18.0</v>
      </c>
      <c r="G187" s="56" t="s">
        <v>41</v>
      </c>
      <c r="H187" s="56" t="s">
        <v>979</v>
      </c>
      <c r="I187" s="57">
        <v>60.0</v>
      </c>
    </row>
    <row r="188">
      <c r="A188" s="55" t="s">
        <v>835</v>
      </c>
      <c r="B188" s="56">
        <v>2.0</v>
      </c>
      <c r="C188" s="56" t="s">
        <v>1799</v>
      </c>
      <c r="D188" s="56">
        <v>40.0</v>
      </c>
      <c r="E188" s="56" t="s">
        <v>82</v>
      </c>
      <c r="F188" s="56">
        <v>18.0</v>
      </c>
      <c r="G188" s="56" t="s">
        <v>69</v>
      </c>
      <c r="H188" s="56" t="s">
        <v>979</v>
      </c>
      <c r="I188" s="57">
        <v>60.0</v>
      </c>
    </row>
    <row r="189">
      <c r="A189" s="55" t="s">
        <v>1800</v>
      </c>
      <c r="B189" s="56">
        <v>2.0</v>
      </c>
      <c r="C189" s="56" t="s">
        <v>1801</v>
      </c>
      <c r="D189" s="56">
        <v>10.0</v>
      </c>
      <c r="E189" s="56" t="s">
        <v>82</v>
      </c>
      <c r="F189" s="56">
        <v>18.0</v>
      </c>
      <c r="G189" s="56" t="s">
        <v>69</v>
      </c>
      <c r="H189" s="56" t="s">
        <v>979</v>
      </c>
      <c r="I189" s="57">
        <v>60.0</v>
      </c>
    </row>
    <row r="190">
      <c r="A190" s="55" t="s">
        <v>1802</v>
      </c>
      <c r="B190" s="56">
        <v>3.0</v>
      </c>
      <c r="C190" s="56" t="s">
        <v>1803</v>
      </c>
      <c r="D190" s="56">
        <v>4.0</v>
      </c>
      <c r="E190" s="56" t="s">
        <v>1536</v>
      </c>
      <c r="F190" s="56">
        <v>18.0</v>
      </c>
      <c r="G190" s="56" t="s">
        <v>383</v>
      </c>
      <c r="H190" s="56" t="s">
        <v>979</v>
      </c>
      <c r="I190" s="57">
        <v>60.0</v>
      </c>
    </row>
    <row r="191">
      <c r="A191" s="55" t="s">
        <v>1804</v>
      </c>
      <c r="B191" s="56">
        <v>5.0</v>
      </c>
      <c r="C191" s="56" t="s">
        <v>1805</v>
      </c>
      <c r="D191" s="56">
        <v>400.0</v>
      </c>
      <c r="E191" s="56" t="s">
        <v>1806</v>
      </c>
      <c r="F191" s="56">
        <v>13.0</v>
      </c>
      <c r="G191" s="56" t="s">
        <v>69</v>
      </c>
      <c r="H191" s="56" t="s">
        <v>1807</v>
      </c>
      <c r="I191" s="57">
        <v>30.0</v>
      </c>
    </row>
    <row r="192">
      <c r="A192" s="55" t="s">
        <v>1808</v>
      </c>
      <c r="B192" s="56">
        <v>3.0</v>
      </c>
      <c r="C192" s="56" t="s">
        <v>1809</v>
      </c>
      <c r="D192" s="56">
        <v>200.0</v>
      </c>
      <c r="E192" s="56" t="s">
        <v>1806</v>
      </c>
      <c r="F192" s="56">
        <v>13.0</v>
      </c>
      <c r="G192" s="56" t="s">
        <v>1744</v>
      </c>
      <c r="H192" s="56" t="s">
        <v>979</v>
      </c>
      <c r="I192" s="57">
        <v>20.0</v>
      </c>
    </row>
    <row r="193">
      <c r="A193" s="55" t="s">
        <v>1810</v>
      </c>
      <c r="B193" s="56">
        <v>2.0</v>
      </c>
      <c r="C193" s="56" t="s">
        <v>1668</v>
      </c>
      <c r="D193" s="56">
        <v>5.0</v>
      </c>
      <c r="E193" s="56" t="s">
        <v>1806</v>
      </c>
      <c r="F193" s="56">
        <v>13.0</v>
      </c>
      <c r="G193" s="56" t="s">
        <v>69</v>
      </c>
      <c r="H193" s="56" t="s">
        <v>979</v>
      </c>
      <c r="I193" s="57">
        <v>20.0</v>
      </c>
    </row>
    <row r="194">
      <c r="A194" s="55" t="s">
        <v>1811</v>
      </c>
      <c r="B194" s="56">
        <v>4.0</v>
      </c>
      <c r="C194" s="56" t="s">
        <v>1631</v>
      </c>
      <c r="D194" s="56">
        <v>100.0</v>
      </c>
      <c r="E194" s="56" t="s">
        <v>1812</v>
      </c>
      <c r="F194" s="56">
        <v>13.0</v>
      </c>
      <c r="G194" s="56" t="s">
        <v>69</v>
      </c>
      <c r="H194" s="56" t="s">
        <v>1472</v>
      </c>
      <c r="I194" s="57">
        <v>15.0</v>
      </c>
    </row>
    <row r="195">
      <c r="A195" s="55" t="s">
        <v>1000</v>
      </c>
      <c r="B195" s="56">
        <v>5.0</v>
      </c>
      <c r="C195" s="56" t="s">
        <v>1813</v>
      </c>
      <c r="D195" s="56">
        <v>20.0</v>
      </c>
      <c r="E195" s="56" t="s">
        <v>1812</v>
      </c>
      <c r="F195" s="56">
        <v>13.0</v>
      </c>
      <c r="G195" s="56" t="s">
        <v>69</v>
      </c>
      <c r="H195" s="56" t="s">
        <v>1531</v>
      </c>
      <c r="I195" s="57">
        <v>10.0</v>
      </c>
    </row>
    <row r="196">
      <c r="A196" s="55" t="s">
        <v>1814</v>
      </c>
      <c r="B196" s="56">
        <v>5.0</v>
      </c>
      <c r="C196" s="56" t="s">
        <v>1815</v>
      </c>
      <c r="D196" s="56">
        <v>8.0</v>
      </c>
      <c r="E196" s="56" t="s">
        <v>1816</v>
      </c>
      <c r="F196" s="56">
        <v>18.0</v>
      </c>
      <c r="G196" s="56" t="s">
        <v>69</v>
      </c>
      <c r="H196" s="56" t="s">
        <v>1531</v>
      </c>
      <c r="I196" s="57">
        <v>10.0</v>
      </c>
    </row>
    <row r="197">
      <c r="A197" s="55" t="s">
        <v>1014</v>
      </c>
      <c r="B197" s="56">
        <v>4.0</v>
      </c>
      <c r="C197" s="56" t="s">
        <v>1817</v>
      </c>
      <c r="D197" s="56">
        <v>20.0</v>
      </c>
      <c r="E197" s="56" t="s">
        <v>1013</v>
      </c>
      <c r="F197" s="56">
        <v>18.0</v>
      </c>
      <c r="G197" s="56" t="s">
        <v>69</v>
      </c>
      <c r="H197" s="56" t="s">
        <v>1531</v>
      </c>
      <c r="I197" s="57">
        <v>10.0</v>
      </c>
    </row>
    <row r="198">
      <c r="A198" s="55" t="s">
        <v>1818</v>
      </c>
      <c r="B198" s="56">
        <v>5.0</v>
      </c>
      <c r="C198" s="56" t="s">
        <v>1819</v>
      </c>
      <c r="D198" s="56">
        <v>10.0</v>
      </c>
      <c r="E198" s="56" t="s">
        <v>1013</v>
      </c>
      <c r="F198" s="56">
        <v>18.0</v>
      </c>
      <c r="G198" s="56" t="s">
        <v>69</v>
      </c>
      <c r="H198" s="56" t="s">
        <v>1531</v>
      </c>
      <c r="I198" s="57">
        <v>10.0</v>
      </c>
    </row>
    <row r="199">
      <c r="A199" s="55" t="s">
        <v>1820</v>
      </c>
      <c r="B199" s="56">
        <v>4.0</v>
      </c>
      <c r="C199" s="56" t="s">
        <v>1821</v>
      </c>
      <c r="D199" s="56">
        <v>100.0</v>
      </c>
      <c r="E199" s="56" t="s">
        <v>1013</v>
      </c>
      <c r="F199" s="56">
        <v>18.0</v>
      </c>
      <c r="G199" s="56" t="s">
        <v>69</v>
      </c>
      <c r="H199" s="56" t="s">
        <v>1531</v>
      </c>
      <c r="I199" s="57">
        <v>5.0</v>
      </c>
    </row>
    <row r="200">
      <c r="A200" s="58" t="s">
        <v>1018</v>
      </c>
      <c r="B200" s="56">
        <v>2.0</v>
      </c>
      <c r="C200" s="56" t="s">
        <v>1822</v>
      </c>
      <c r="D200" s="56">
        <v>400.0</v>
      </c>
      <c r="E200" s="56" t="s">
        <v>1823</v>
      </c>
      <c r="F200" s="56">
        <v>13.0</v>
      </c>
      <c r="G200" s="56" t="s">
        <v>69</v>
      </c>
      <c r="H200" s="56" t="s">
        <v>1514</v>
      </c>
      <c r="I200" s="57">
        <v>2.0</v>
      </c>
    </row>
    <row r="201">
      <c r="A201" s="55" t="s">
        <v>1824</v>
      </c>
      <c r="B201" s="56">
        <v>3.0</v>
      </c>
      <c r="C201" s="56" t="s">
        <v>1825</v>
      </c>
      <c r="D201" s="56">
        <v>50.0</v>
      </c>
      <c r="E201" s="56" t="s">
        <v>1826</v>
      </c>
      <c r="F201" s="56">
        <v>18.0</v>
      </c>
      <c r="G201" s="56" t="s">
        <v>69</v>
      </c>
      <c r="H201" s="56" t="s">
        <v>1531</v>
      </c>
      <c r="I201" s="57">
        <v>5.0</v>
      </c>
    </row>
    <row r="202">
      <c r="A202" s="55" t="s">
        <v>1827</v>
      </c>
      <c r="B202" s="56">
        <v>6.0</v>
      </c>
      <c r="C202" s="56" t="s">
        <v>1828</v>
      </c>
      <c r="D202" s="56">
        <v>100.0</v>
      </c>
      <c r="E202" s="56" t="s">
        <v>1826</v>
      </c>
      <c r="F202" s="56">
        <v>18.0</v>
      </c>
      <c r="G202" s="56" t="s">
        <v>69</v>
      </c>
      <c r="H202" s="56" t="s">
        <v>1531</v>
      </c>
      <c r="I202" s="57">
        <v>5.0</v>
      </c>
    </row>
    <row r="203">
      <c r="A203" s="55" t="s">
        <v>1829</v>
      </c>
      <c r="B203" s="56">
        <v>6.0</v>
      </c>
      <c r="C203" s="56" t="s">
        <v>1830</v>
      </c>
      <c r="D203" s="56">
        <v>50.0</v>
      </c>
      <c r="E203" s="56" t="s">
        <v>1826</v>
      </c>
      <c r="F203" s="56">
        <v>18.0</v>
      </c>
      <c r="G203" s="56" t="s">
        <v>69</v>
      </c>
      <c r="H203" s="56" t="s">
        <v>1531</v>
      </c>
      <c r="I203" s="57">
        <v>5.0</v>
      </c>
    </row>
    <row r="204">
      <c r="A204" s="55" t="s">
        <v>1831</v>
      </c>
      <c r="B204" s="56">
        <v>5.0</v>
      </c>
      <c r="C204" s="56" t="s">
        <v>1832</v>
      </c>
      <c r="D204" s="56">
        <v>10.0</v>
      </c>
      <c r="E204" s="56" t="s">
        <v>1826</v>
      </c>
      <c r="F204" s="56">
        <v>18.0</v>
      </c>
      <c r="G204" s="56" t="s">
        <v>69</v>
      </c>
      <c r="H204" s="56" t="s">
        <v>1531</v>
      </c>
      <c r="I204" s="57">
        <v>5.0</v>
      </c>
    </row>
    <row r="205">
      <c r="A205" s="55" t="s">
        <v>1833</v>
      </c>
      <c r="B205" s="56">
        <v>2.0</v>
      </c>
      <c r="C205" s="56" t="s">
        <v>1668</v>
      </c>
      <c r="D205" s="56">
        <v>30.0</v>
      </c>
      <c r="E205" s="56" t="s">
        <v>1834</v>
      </c>
      <c r="F205" s="56">
        <v>18.0</v>
      </c>
      <c r="G205" s="56" t="s">
        <v>69</v>
      </c>
      <c r="H205" s="56" t="s">
        <v>1531</v>
      </c>
      <c r="I205" s="57">
        <v>5.0</v>
      </c>
    </row>
    <row r="206">
      <c r="A206" s="55" t="s">
        <v>1835</v>
      </c>
      <c r="B206" s="56">
        <v>2.0</v>
      </c>
      <c r="C206" s="56" t="s">
        <v>1668</v>
      </c>
      <c r="D206" s="56">
        <v>20.0</v>
      </c>
      <c r="E206" s="56" t="s">
        <v>1834</v>
      </c>
      <c r="F206" s="56">
        <v>18.0</v>
      </c>
      <c r="G206" s="56" t="s">
        <v>45</v>
      </c>
      <c r="H206" s="56" t="s">
        <v>1531</v>
      </c>
      <c r="I206" s="57">
        <v>5.0</v>
      </c>
    </row>
    <row r="207">
      <c r="A207" s="55" t="s">
        <v>1048</v>
      </c>
      <c r="B207" s="56">
        <v>4.0</v>
      </c>
      <c r="C207" s="56" t="s">
        <v>1836</v>
      </c>
      <c r="D207" s="56">
        <v>30.0</v>
      </c>
      <c r="E207" s="56" t="s">
        <v>1837</v>
      </c>
      <c r="F207" s="56">
        <v>18.0</v>
      </c>
      <c r="G207" s="56" t="s">
        <v>1549</v>
      </c>
      <c r="H207" s="56" t="s">
        <v>1531</v>
      </c>
      <c r="I207" s="57">
        <v>15.0</v>
      </c>
    </row>
    <row r="208">
      <c r="A208" s="55" t="s">
        <v>1838</v>
      </c>
      <c r="B208" s="56">
        <v>3.0</v>
      </c>
      <c r="C208" s="56" t="s">
        <v>1839</v>
      </c>
      <c r="D208" s="56">
        <v>60.0</v>
      </c>
      <c r="E208" s="56" t="s">
        <v>1837</v>
      </c>
      <c r="F208" s="56">
        <v>18.0</v>
      </c>
      <c r="G208" s="56" t="s">
        <v>359</v>
      </c>
      <c r="H208" s="56" t="s">
        <v>1531</v>
      </c>
      <c r="I208" s="57">
        <v>15.0</v>
      </c>
    </row>
    <row r="209">
      <c r="A209" s="55" t="s">
        <v>1840</v>
      </c>
      <c r="B209" s="56">
        <v>4.0</v>
      </c>
      <c r="C209" s="56" t="s">
        <v>1841</v>
      </c>
      <c r="D209" s="56">
        <v>80.0</v>
      </c>
      <c r="E209" s="56" t="s">
        <v>1837</v>
      </c>
      <c r="F209" s="56">
        <v>18.0</v>
      </c>
      <c r="G209" s="56" t="s">
        <v>69</v>
      </c>
      <c r="H209" s="56" t="s">
        <v>1531</v>
      </c>
      <c r="I209" s="57">
        <v>15.0</v>
      </c>
    </row>
    <row r="210">
      <c r="A210" s="55" t="s">
        <v>1842</v>
      </c>
      <c r="B210" s="56">
        <v>4.0</v>
      </c>
      <c r="C210" s="56" t="s">
        <v>1836</v>
      </c>
      <c r="D210" s="56">
        <v>40.0</v>
      </c>
      <c r="E210" s="56" t="s">
        <v>1837</v>
      </c>
      <c r="F210" s="56">
        <v>18.0</v>
      </c>
      <c r="G210" s="56" t="s">
        <v>1530</v>
      </c>
      <c r="H210" s="56" t="s">
        <v>1531</v>
      </c>
      <c r="I210" s="57">
        <v>15.0</v>
      </c>
    </row>
    <row r="211">
      <c r="A211" s="55" t="s">
        <v>1843</v>
      </c>
      <c r="B211" s="56">
        <v>4.0</v>
      </c>
      <c r="C211" s="56" t="s">
        <v>1836</v>
      </c>
      <c r="D211" s="56">
        <v>30.0</v>
      </c>
      <c r="E211" s="56" t="s">
        <v>1837</v>
      </c>
      <c r="F211" s="56">
        <v>18.0</v>
      </c>
      <c r="G211" s="56" t="s">
        <v>1844</v>
      </c>
      <c r="H211" s="56" t="s">
        <v>1531</v>
      </c>
      <c r="I211" s="57">
        <v>15.0</v>
      </c>
    </row>
    <row r="212">
      <c r="A212" s="55" t="s">
        <v>1845</v>
      </c>
      <c r="B212" s="56">
        <v>4.0</v>
      </c>
      <c r="C212" s="56" t="s">
        <v>1846</v>
      </c>
      <c r="D212" s="56">
        <v>30.0</v>
      </c>
      <c r="E212" s="56" t="s">
        <v>1837</v>
      </c>
      <c r="F212" s="56">
        <v>18.0</v>
      </c>
      <c r="G212" s="56" t="s">
        <v>69</v>
      </c>
      <c r="H212" s="56" t="s">
        <v>1531</v>
      </c>
      <c r="I212" s="57">
        <v>15.0</v>
      </c>
    </row>
    <row r="213">
      <c r="A213" s="55" t="s">
        <v>1847</v>
      </c>
      <c r="B213" s="56">
        <v>4.0</v>
      </c>
      <c r="C213" s="56" t="s">
        <v>1848</v>
      </c>
      <c r="D213" s="56">
        <v>20.0</v>
      </c>
      <c r="E213" s="56" t="s">
        <v>1837</v>
      </c>
      <c r="F213" s="56">
        <v>18.0</v>
      </c>
      <c r="G213" s="56" t="s">
        <v>69</v>
      </c>
      <c r="H213" s="56" t="s">
        <v>1531</v>
      </c>
      <c r="I213" s="57">
        <v>15.0</v>
      </c>
    </row>
    <row r="214">
      <c r="A214" s="55" t="s">
        <v>1849</v>
      </c>
      <c r="B214" s="56">
        <v>3.0</v>
      </c>
      <c r="C214" s="56" t="s">
        <v>1850</v>
      </c>
      <c r="D214" s="56">
        <v>10.0</v>
      </c>
      <c r="E214" s="56" t="s">
        <v>1837</v>
      </c>
      <c r="F214" s="56">
        <v>18.0</v>
      </c>
      <c r="G214" s="56" t="s">
        <v>69</v>
      </c>
      <c r="H214" s="56" t="s">
        <v>1531</v>
      </c>
      <c r="I214" s="57">
        <v>15.0</v>
      </c>
    </row>
    <row r="215">
      <c r="A215" s="55" t="s">
        <v>1851</v>
      </c>
      <c r="B215" s="56">
        <v>4.0</v>
      </c>
      <c r="C215" s="56" t="s">
        <v>1852</v>
      </c>
      <c r="D215" s="56">
        <v>5.0</v>
      </c>
      <c r="E215" s="56" t="s">
        <v>1853</v>
      </c>
      <c r="F215" s="56">
        <v>18.0</v>
      </c>
      <c r="G215" s="56" t="s">
        <v>69</v>
      </c>
      <c r="H215" s="56" t="s">
        <v>1531</v>
      </c>
      <c r="I215" s="57">
        <v>10.0</v>
      </c>
    </row>
    <row r="216">
      <c r="A216" s="55" t="s">
        <v>1854</v>
      </c>
      <c r="B216" s="56">
        <v>5.0</v>
      </c>
      <c r="C216" s="56" t="s">
        <v>1855</v>
      </c>
      <c r="D216" s="56">
        <v>4.0</v>
      </c>
      <c r="E216" s="56" t="s">
        <v>1856</v>
      </c>
      <c r="F216" s="56">
        <v>18.0</v>
      </c>
      <c r="G216" s="56" t="s">
        <v>1744</v>
      </c>
      <c r="H216" s="56" t="s">
        <v>1531</v>
      </c>
      <c r="I216" s="57">
        <v>30.0</v>
      </c>
    </row>
    <row r="217">
      <c r="A217" s="55" t="s">
        <v>1857</v>
      </c>
      <c r="B217" s="56">
        <v>5.0</v>
      </c>
      <c r="C217" s="56" t="s">
        <v>1858</v>
      </c>
      <c r="D217" s="56">
        <v>15.0</v>
      </c>
      <c r="E217" s="56" t="s">
        <v>1856</v>
      </c>
      <c r="F217" s="56">
        <v>18.0</v>
      </c>
      <c r="G217" s="56" t="s">
        <v>69</v>
      </c>
      <c r="H217" s="56" t="s">
        <v>1531</v>
      </c>
      <c r="I217" s="57">
        <v>30.0</v>
      </c>
    </row>
    <row r="218">
      <c r="A218" s="55" t="s">
        <v>1859</v>
      </c>
      <c r="B218" s="56">
        <v>6.0</v>
      </c>
      <c r="C218" s="56" t="s">
        <v>1720</v>
      </c>
      <c r="D218" s="56">
        <v>50.0</v>
      </c>
      <c r="E218" s="56" t="s">
        <v>1856</v>
      </c>
      <c r="F218" s="56">
        <v>18.0</v>
      </c>
      <c r="G218" s="56" t="s">
        <v>1654</v>
      </c>
      <c r="H218" s="56" t="s">
        <v>1531</v>
      </c>
      <c r="I218" s="57">
        <v>30.0</v>
      </c>
    </row>
    <row r="219">
      <c r="A219" s="55" t="s">
        <v>1860</v>
      </c>
      <c r="B219" s="56">
        <v>2.0</v>
      </c>
      <c r="C219" s="56" t="s">
        <v>1668</v>
      </c>
      <c r="D219" s="56">
        <v>1.0</v>
      </c>
      <c r="E219" s="56" t="s">
        <v>1856</v>
      </c>
      <c r="F219" s="56">
        <v>18.0</v>
      </c>
      <c r="G219" s="56" t="s">
        <v>45</v>
      </c>
      <c r="H219" s="56" t="s">
        <v>1531</v>
      </c>
      <c r="I219" s="57">
        <v>15.0</v>
      </c>
    </row>
    <row r="220">
      <c r="A220" s="55" t="s">
        <v>1861</v>
      </c>
      <c r="B220" s="56">
        <v>3.0</v>
      </c>
      <c r="C220" s="56" t="s">
        <v>1862</v>
      </c>
      <c r="D220" s="56">
        <v>10.0</v>
      </c>
      <c r="E220" s="56" t="s">
        <v>1863</v>
      </c>
      <c r="F220" s="56">
        <v>18.0</v>
      </c>
      <c r="G220" s="56" t="s">
        <v>1549</v>
      </c>
      <c r="H220" s="56" t="s">
        <v>1455</v>
      </c>
      <c r="I220" s="57">
        <v>10.0</v>
      </c>
    </row>
    <row r="221">
      <c r="A221" s="55" t="s">
        <v>1864</v>
      </c>
      <c r="B221" s="56">
        <v>4.0</v>
      </c>
      <c r="C221" s="56" t="s">
        <v>1865</v>
      </c>
      <c r="D221" s="56">
        <v>250.0</v>
      </c>
      <c r="E221" s="56" t="s">
        <v>1863</v>
      </c>
      <c r="F221" s="56">
        <v>18.0</v>
      </c>
      <c r="G221" s="56" t="s">
        <v>69</v>
      </c>
      <c r="H221" s="56" t="s">
        <v>1455</v>
      </c>
      <c r="I221" s="57">
        <v>10.0</v>
      </c>
    </row>
    <row r="222">
      <c r="A222" s="55" t="s">
        <v>1866</v>
      </c>
      <c r="B222" s="56">
        <v>3.0</v>
      </c>
      <c r="C222" s="56" t="s">
        <v>1867</v>
      </c>
      <c r="D222" s="56">
        <v>50.0</v>
      </c>
      <c r="E222" s="56" t="s">
        <v>1863</v>
      </c>
      <c r="F222" s="56">
        <v>18.0</v>
      </c>
      <c r="G222" s="56" t="s">
        <v>69</v>
      </c>
      <c r="H222" s="56" t="s">
        <v>1455</v>
      </c>
      <c r="I222" s="57">
        <v>10.0</v>
      </c>
    </row>
    <row r="223">
      <c r="A223" s="55" t="s">
        <v>1868</v>
      </c>
      <c r="B223" s="56">
        <v>4.0</v>
      </c>
      <c r="C223" s="56" t="s">
        <v>1869</v>
      </c>
      <c r="D223" s="56">
        <v>20.0</v>
      </c>
      <c r="E223" s="56" t="s">
        <v>1863</v>
      </c>
      <c r="F223" s="56">
        <v>18.0</v>
      </c>
      <c r="G223" s="56" t="s">
        <v>69</v>
      </c>
      <c r="H223" s="56" t="s">
        <v>1455</v>
      </c>
      <c r="I223" s="57">
        <v>10.0</v>
      </c>
    </row>
    <row r="224">
      <c r="A224" s="55" t="s">
        <v>1870</v>
      </c>
      <c r="B224" s="56">
        <v>2.0</v>
      </c>
      <c r="C224" s="56" t="s">
        <v>1668</v>
      </c>
      <c r="D224" s="56">
        <v>20.0</v>
      </c>
      <c r="E224" s="56" t="s">
        <v>1463</v>
      </c>
      <c r="F224" s="56">
        <v>18.0</v>
      </c>
      <c r="G224" s="56" t="s">
        <v>41</v>
      </c>
      <c r="H224" s="56" t="s">
        <v>1472</v>
      </c>
      <c r="I224" s="57">
        <v>10.0</v>
      </c>
    </row>
    <row r="225">
      <c r="A225" s="55" t="s">
        <v>1871</v>
      </c>
      <c r="B225" s="56">
        <v>2.0</v>
      </c>
      <c r="C225" s="56" t="s">
        <v>1872</v>
      </c>
      <c r="D225" s="56">
        <v>20.0</v>
      </c>
      <c r="E225" s="56" t="s">
        <v>1873</v>
      </c>
      <c r="F225" s="56">
        <v>18.0</v>
      </c>
      <c r="G225" s="56" t="s">
        <v>41</v>
      </c>
      <c r="H225" s="56" t="s">
        <v>1455</v>
      </c>
      <c r="I225" s="57">
        <v>15.0</v>
      </c>
    </row>
    <row r="226">
      <c r="A226" s="58" t="s">
        <v>1874</v>
      </c>
      <c r="B226" s="56">
        <v>3.0</v>
      </c>
      <c r="C226" s="56" t="s">
        <v>1875</v>
      </c>
      <c r="D226" s="56">
        <v>100.0</v>
      </c>
      <c r="E226" s="56" t="s">
        <v>1873</v>
      </c>
      <c r="F226" s="56">
        <v>13.0</v>
      </c>
      <c r="G226" s="56" t="s">
        <v>69</v>
      </c>
      <c r="H226" s="56" t="s">
        <v>1472</v>
      </c>
      <c r="I226" s="57">
        <v>15.0</v>
      </c>
    </row>
    <row r="227">
      <c r="A227" s="55" t="s">
        <v>1876</v>
      </c>
      <c r="B227" s="56">
        <v>1.0</v>
      </c>
      <c r="C227" s="56" t="s">
        <v>1668</v>
      </c>
      <c r="D227" s="56">
        <v>300.0</v>
      </c>
      <c r="E227" s="56" t="s">
        <v>1373</v>
      </c>
      <c r="F227" s="56">
        <v>13.0</v>
      </c>
      <c r="G227" s="56" t="s">
        <v>1654</v>
      </c>
      <c r="H227" s="56" t="s">
        <v>1807</v>
      </c>
      <c r="I227" s="57">
        <v>40.0</v>
      </c>
    </row>
    <row r="228">
      <c r="A228" s="55" t="s">
        <v>1877</v>
      </c>
      <c r="B228" s="56">
        <v>2.0</v>
      </c>
      <c r="C228" s="56" t="s">
        <v>1878</v>
      </c>
      <c r="D228" s="56">
        <v>100.0</v>
      </c>
      <c r="E228" s="56" t="s">
        <v>1373</v>
      </c>
      <c r="F228" s="56">
        <v>13.0</v>
      </c>
      <c r="G228" s="56" t="s">
        <v>69</v>
      </c>
      <c r="H228" s="56" t="s">
        <v>979</v>
      </c>
      <c r="I228" s="57">
        <v>40.0</v>
      </c>
    </row>
    <row r="229">
      <c r="A229" s="55" t="s">
        <v>1879</v>
      </c>
      <c r="B229" s="56">
        <v>1.0</v>
      </c>
      <c r="C229" s="56" t="s">
        <v>1668</v>
      </c>
      <c r="D229" s="56">
        <v>30.0</v>
      </c>
      <c r="E229" s="56" t="s">
        <v>1373</v>
      </c>
      <c r="F229" s="56">
        <v>13.0</v>
      </c>
      <c r="G229" s="56" t="s">
        <v>69</v>
      </c>
      <c r="H229" s="56" t="s">
        <v>979</v>
      </c>
      <c r="I229" s="57">
        <v>40.0</v>
      </c>
    </row>
    <row r="230">
      <c r="A230" s="55" t="s">
        <v>1880</v>
      </c>
      <c r="B230" s="56">
        <v>1.0</v>
      </c>
      <c r="C230" s="56" t="s">
        <v>1668</v>
      </c>
      <c r="D230" s="56">
        <v>100.0</v>
      </c>
      <c r="E230" s="56" t="s">
        <v>1873</v>
      </c>
      <c r="F230" s="56">
        <v>13.0</v>
      </c>
      <c r="G230" s="56" t="s">
        <v>69</v>
      </c>
      <c r="H230" s="56" t="s">
        <v>1461</v>
      </c>
      <c r="I230" s="57">
        <v>20.0</v>
      </c>
    </row>
    <row r="231">
      <c r="A231" s="55" t="s">
        <v>1881</v>
      </c>
      <c r="B231" s="56">
        <v>1.0</v>
      </c>
      <c r="C231" s="56" t="s">
        <v>1668</v>
      </c>
      <c r="D231" s="56">
        <v>5.0</v>
      </c>
      <c r="E231" s="56" t="s">
        <v>1873</v>
      </c>
      <c r="F231" s="56">
        <v>13.0</v>
      </c>
      <c r="G231" s="56" t="s">
        <v>69</v>
      </c>
      <c r="H231" s="56" t="s">
        <v>1807</v>
      </c>
      <c r="I231" s="57">
        <v>10.0</v>
      </c>
    </row>
    <row r="232">
      <c r="A232" s="55" t="s">
        <v>1882</v>
      </c>
      <c r="B232" s="56">
        <v>2.0</v>
      </c>
      <c r="C232" s="56" t="s">
        <v>1883</v>
      </c>
      <c r="D232" s="56">
        <v>6.0</v>
      </c>
      <c r="E232" s="56" t="s">
        <v>1873</v>
      </c>
      <c r="F232" s="56">
        <v>13.0</v>
      </c>
      <c r="G232" s="56" t="s">
        <v>1530</v>
      </c>
      <c r="H232" s="56" t="s">
        <v>1472</v>
      </c>
      <c r="I232" s="57">
        <v>10.0</v>
      </c>
    </row>
    <row r="233">
      <c r="A233" s="55" t="s">
        <v>1884</v>
      </c>
      <c r="B233" s="56">
        <v>2.0</v>
      </c>
      <c r="C233" s="56" t="s">
        <v>1668</v>
      </c>
      <c r="D233" s="56">
        <v>10.0</v>
      </c>
      <c r="E233" s="56" t="s">
        <v>1873</v>
      </c>
      <c r="F233" s="56">
        <v>13.0</v>
      </c>
      <c r="G233" s="56" t="s">
        <v>1530</v>
      </c>
      <c r="H233" s="56" t="s">
        <v>1472</v>
      </c>
      <c r="I233" s="57">
        <v>30.0</v>
      </c>
    </row>
    <row r="234">
      <c r="A234" s="55" t="s">
        <v>1885</v>
      </c>
      <c r="B234" s="56">
        <v>1.0</v>
      </c>
      <c r="C234" s="56" t="s">
        <v>1668</v>
      </c>
      <c r="D234" s="56">
        <v>10.0</v>
      </c>
      <c r="E234" s="56" t="s">
        <v>1873</v>
      </c>
      <c r="F234" s="56">
        <v>13.0</v>
      </c>
      <c r="G234" s="56" t="s">
        <v>69</v>
      </c>
      <c r="H234" s="56" t="s">
        <v>1472</v>
      </c>
      <c r="I234" s="57">
        <v>10.0</v>
      </c>
    </row>
    <row r="235">
      <c r="A235" s="55" t="s">
        <v>1886</v>
      </c>
      <c r="B235" s="56">
        <v>1.0</v>
      </c>
      <c r="C235" s="56" t="s">
        <v>1668</v>
      </c>
      <c r="D235" s="56">
        <v>100.0</v>
      </c>
      <c r="E235" s="56" t="s">
        <v>1373</v>
      </c>
      <c r="F235" s="56">
        <v>10.0</v>
      </c>
      <c r="G235" s="56" t="s">
        <v>1887</v>
      </c>
      <c r="H235" s="56" t="s">
        <v>1461</v>
      </c>
      <c r="I235" s="57">
        <v>20.0</v>
      </c>
    </row>
    <row r="236">
      <c r="A236" s="55" t="s">
        <v>1888</v>
      </c>
      <c r="B236" s="56">
        <v>1.0</v>
      </c>
      <c r="C236" s="56" t="s">
        <v>1668</v>
      </c>
      <c r="D236" s="56">
        <v>50.0</v>
      </c>
      <c r="E236" s="56" t="s">
        <v>1373</v>
      </c>
      <c r="F236" s="56">
        <v>10.0</v>
      </c>
      <c r="G236" s="56" t="s">
        <v>69</v>
      </c>
      <c r="H236" s="56" t="s">
        <v>1461</v>
      </c>
      <c r="I236" s="57">
        <v>20.0</v>
      </c>
    </row>
    <row r="237">
      <c r="A237" s="55" t="s">
        <v>1889</v>
      </c>
      <c r="B237" s="56">
        <v>2.0</v>
      </c>
      <c r="C237" s="56" t="s">
        <v>1890</v>
      </c>
      <c r="D237" s="56">
        <v>80.0</v>
      </c>
      <c r="E237" s="56" t="s">
        <v>1373</v>
      </c>
      <c r="F237" s="56">
        <v>8.0</v>
      </c>
      <c r="G237" s="56" t="s">
        <v>69</v>
      </c>
      <c r="H237" s="56" t="s">
        <v>1461</v>
      </c>
      <c r="I237" s="57">
        <v>40.0</v>
      </c>
    </row>
    <row r="238">
      <c r="A238" s="58" t="s">
        <v>1891</v>
      </c>
      <c r="B238" s="56">
        <v>1.0</v>
      </c>
      <c r="C238" s="56" t="s">
        <v>1668</v>
      </c>
      <c r="D238" s="56">
        <v>50.0</v>
      </c>
      <c r="E238" s="56" t="s">
        <v>1373</v>
      </c>
      <c r="F238" s="56">
        <v>6.0</v>
      </c>
      <c r="G238" s="56" t="s">
        <v>69</v>
      </c>
      <c r="H238" s="56" t="s">
        <v>1461</v>
      </c>
      <c r="I238" s="57">
        <v>30.0</v>
      </c>
    </row>
    <row r="239">
      <c r="A239" s="55" t="s">
        <v>1892</v>
      </c>
      <c r="B239" s="56">
        <v>1.0</v>
      </c>
      <c r="C239" s="56" t="s">
        <v>1668</v>
      </c>
      <c r="D239" s="56">
        <v>50.0</v>
      </c>
      <c r="E239" s="56" t="s">
        <v>1373</v>
      </c>
      <c r="F239" s="56">
        <v>13.0</v>
      </c>
      <c r="G239" s="56" t="s">
        <v>69</v>
      </c>
      <c r="H239" s="56" t="s">
        <v>1472</v>
      </c>
      <c r="I239" s="57">
        <v>30.0</v>
      </c>
    </row>
    <row r="240">
      <c r="A240" s="55" t="s">
        <v>1893</v>
      </c>
      <c r="B240" s="56">
        <v>1.0</v>
      </c>
      <c r="C240" s="56" t="s">
        <v>1668</v>
      </c>
      <c r="D240" s="56">
        <v>10.0</v>
      </c>
      <c r="E240" s="56" t="s">
        <v>1373</v>
      </c>
      <c r="F240" s="56">
        <v>13.0</v>
      </c>
      <c r="G240" s="56" t="s">
        <v>69</v>
      </c>
      <c r="H240" s="56" t="s">
        <v>1464</v>
      </c>
      <c r="I240" s="57">
        <v>30.0</v>
      </c>
    </row>
    <row r="241">
      <c r="A241" s="55" t="s">
        <v>1894</v>
      </c>
      <c r="B241" s="56">
        <v>2.0</v>
      </c>
      <c r="C241" s="56" t="s">
        <v>1895</v>
      </c>
      <c r="D241" s="56">
        <v>8.0</v>
      </c>
      <c r="E241" s="56" t="s">
        <v>1373</v>
      </c>
      <c r="F241" s="56">
        <v>13.0</v>
      </c>
      <c r="G241" s="56" t="s">
        <v>1549</v>
      </c>
      <c r="H241" s="56" t="s">
        <v>1664</v>
      </c>
      <c r="I241" s="57">
        <v>20.0</v>
      </c>
    </row>
    <row r="242">
      <c r="A242" s="55" t="s">
        <v>1896</v>
      </c>
      <c r="B242" s="56">
        <v>2.0</v>
      </c>
      <c r="C242" s="56" t="s">
        <v>1895</v>
      </c>
      <c r="D242" s="56">
        <v>6.0</v>
      </c>
      <c r="E242" s="56" t="s">
        <v>1373</v>
      </c>
      <c r="F242" s="56">
        <v>13.0</v>
      </c>
      <c r="G242" s="56" t="s">
        <v>1897</v>
      </c>
      <c r="H242" s="56" t="s">
        <v>1664</v>
      </c>
      <c r="I242" s="57">
        <v>20.0</v>
      </c>
    </row>
    <row r="243">
      <c r="A243" s="55" t="s">
        <v>1898</v>
      </c>
      <c r="B243" s="56">
        <v>2.0</v>
      </c>
      <c r="C243" s="56" t="s">
        <v>1668</v>
      </c>
      <c r="D243" s="56">
        <v>4.0</v>
      </c>
      <c r="E243" s="56" t="s">
        <v>1373</v>
      </c>
      <c r="F243" s="56">
        <v>13.0</v>
      </c>
      <c r="G243" s="56" t="s">
        <v>1844</v>
      </c>
      <c r="H243" s="56" t="s">
        <v>1464</v>
      </c>
      <c r="I243" s="57">
        <v>30.0</v>
      </c>
    </row>
    <row r="244">
      <c r="A244" s="55" t="s">
        <v>1899</v>
      </c>
      <c r="B244" s="56">
        <v>1.0</v>
      </c>
      <c r="C244" s="56" t="s">
        <v>1688</v>
      </c>
      <c r="D244" s="56">
        <v>2.0</v>
      </c>
      <c r="E244" s="56" t="s">
        <v>1373</v>
      </c>
      <c r="F244" s="56">
        <v>13.0</v>
      </c>
      <c r="G244" s="56" t="s">
        <v>69</v>
      </c>
      <c r="H244" s="56" t="s">
        <v>1464</v>
      </c>
      <c r="I244" s="57">
        <v>20.0</v>
      </c>
    </row>
    <row r="245">
      <c r="A245" s="55" t="s">
        <v>1900</v>
      </c>
      <c r="B245" s="56">
        <v>1.0</v>
      </c>
      <c r="C245" s="56" t="s">
        <v>1668</v>
      </c>
      <c r="D245" s="56">
        <v>50.0</v>
      </c>
      <c r="E245" s="56" t="s">
        <v>1373</v>
      </c>
      <c r="F245" s="56">
        <v>13.0</v>
      </c>
      <c r="G245" s="56" t="s">
        <v>69</v>
      </c>
      <c r="H245" s="56" t="s">
        <v>1461</v>
      </c>
      <c r="I245" s="57">
        <v>15.0</v>
      </c>
    </row>
    <row r="246">
      <c r="A246" s="55" t="s">
        <v>1376</v>
      </c>
      <c r="B246" s="56">
        <v>1.0</v>
      </c>
      <c r="C246" s="56" t="s">
        <v>1668</v>
      </c>
      <c r="D246" s="56">
        <v>130.0</v>
      </c>
      <c r="E246" s="56" t="s">
        <v>1373</v>
      </c>
      <c r="F246" s="56">
        <v>6.0</v>
      </c>
      <c r="G246" s="56" t="s">
        <v>69</v>
      </c>
      <c r="H246" s="56" t="s">
        <v>1461</v>
      </c>
      <c r="I246" s="57">
        <v>30.0</v>
      </c>
    </row>
    <row r="247">
      <c r="A247" s="55" t="s">
        <v>433</v>
      </c>
      <c r="B247" s="56">
        <v>1.0</v>
      </c>
      <c r="C247" s="56" t="s">
        <v>1901</v>
      </c>
      <c r="D247" s="56">
        <v>2000.0</v>
      </c>
      <c r="E247" s="56" t="s">
        <v>1373</v>
      </c>
      <c r="F247" s="56">
        <v>10.0</v>
      </c>
      <c r="G247" s="56" t="s">
        <v>69</v>
      </c>
      <c r="H247" s="56" t="s">
        <v>1514</v>
      </c>
      <c r="I247" s="57">
        <v>10.0</v>
      </c>
    </row>
    <row r="248">
      <c r="A248" s="55" t="s">
        <v>1902</v>
      </c>
      <c r="B248" s="56">
        <v>2.0</v>
      </c>
      <c r="C248" s="56" t="s">
        <v>1903</v>
      </c>
      <c r="D248" s="56">
        <v>200.0</v>
      </c>
      <c r="E248" s="56" t="s">
        <v>1904</v>
      </c>
      <c r="F248" s="56">
        <v>13.0</v>
      </c>
      <c r="G248" s="56" t="s">
        <v>69</v>
      </c>
      <c r="H248" s="56" t="s">
        <v>1455</v>
      </c>
      <c r="I248" s="57">
        <v>5.0</v>
      </c>
    </row>
    <row r="249">
      <c r="A249" s="55" t="s">
        <v>1905</v>
      </c>
      <c r="B249" s="56">
        <v>3.0</v>
      </c>
      <c r="C249" s="56" t="s">
        <v>1906</v>
      </c>
      <c r="D249" s="56">
        <v>50.0</v>
      </c>
      <c r="E249" s="56" t="s">
        <v>1904</v>
      </c>
      <c r="F249" s="56">
        <v>13.0</v>
      </c>
      <c r="G249" s="56" t="s">
        <v>69</v>
      </c>
      <c r="H249" s="56" t="s">
        <v>1455</v>
      </c>
      <c r="I249" s="57">
        <v>5.0</v>
      </c>
    </row>
    <row r="250">
      <c r="A250" s="55" t="s">
        <v>1907</v>
      </c>
      <c r="B250" s="56">
        <v>3.0</v>
      </c>
      <c r="C250" s="56" t="s">
        <v>1906</v>
      </c>
      <c r="D250" s="56">
        <v>30.0</v>
      </c>
      <c r="E250" s="56" t="s">
        <v>1904</v>
      </c>
      <c r="F250" s="56">
        <v>13.0</v>
      </c>
      <c r="G250" s="56" t="s">
        <v>69</v>
      </c>
      <c r="H250" s="56" t="s">
        <v>1455</v>
      </c>
      <c r="I250" s="57">
        <v>5.0</v>
      </c>
    </row>
    <row r="251">
      <c r="A251" s="55" t="s">
        <v>1908</v>
      </c>
      <c r="B251" s="56">
        <v>5.0</v>
      </c>
      <c r="C251" s="56" t="s">
        <v>1909</v>
      </c>
      <c r="D251" s="56">
        <v>300.0</v>
      </c>
      <c r="E251" s="56" t="s">
        <v>866</v>
      </c>
      <c r="F251" s="56">
        <v>13.0</v>
      </c>
      <c r="G251" s="56" t="s">
        <v>69</v>
      </c>
      <c r="H251" s="56" t="s">
        <v>1455</v>
      </c>
      <c r="I251" s="57">
        <v>10.0</v>
      </c>
    </row>
    <row r="252">
      <c r="A252" s="55" t="s">
        <v>1910</v>
      </c>
      <c r="B252" s="56">
        <v>3.0</v>
      </c>
      <c r="C252" s="56" t="s">
        <v>1911</v>
      </c>
      <c r="D252" s="56">
        <v>100.0</v>
      </c>
      <c r="E252" s="56" t="s">
        <v>1481</v>
      </c>
      <c r="F252" s="56">
        <v>13.0</v>
      </c>
      <c r="G252" s="56" t="s">
        <v>69</v>
      </c>
      <c r="H252" s="56" t="s">
        <v>1455</v>
      </c>
      <c r="I252" s="57">
        <v>5.0</v>
      </c>
    </row>
    <row r="253">
      <c r="A253" s="55" t="s">
        <v>1912</v>
      </c>
      <c r="B253" s="56">
        <v>2.0</v>
      </c>
      <c r="C253" s="56" t="s">
        <v>1850</v>
      </c>
      <c r="D253" s="56">
        <v>10.0</v>
      </c>
      <c r="E253" s="56" t="s">
        <v>1481</v>
      </c>
      <c r="F253" s="56">
        <v>13.0</v>
      </c>
      <c r="G253" s="56" t="s">
        <v>69</v>
      </c>
      <c r="H253" s="56" t="s">
        <v>1531</v>
      </c>
      <c r="I253" s="57">
        <v>10.0</v>
      </c>
    </row>
    <row r="254">
      <c r="A254" s="55" t="s">
        <v>1913</v>
      </c>
      <c r="B254" s="56">
        <v>1.0</v>
      </c>
      <c r="C254" s="56" t="s">
        <v>1668</v>
      </c>
      <c r="D254" s="56">
        <v>5.0</v>
      </c>
      <c r="E254" s="56" t="s">
        <v>1481</v>
      </c>
      <c r="F254" s="56">
        <v>13.0</v>
      </c>
      <c r="G254" s="56" t="s">
        <v>69</v>
      </c>
      <c r="H254" s="56" t="s">
        <v>1531</v>
      </c>
      <c r="I254" s="57">
        <v>10.0</v>
      </c>
    </row>
    <row r="255">
      <c r="A255" s="58" t="s">
        <v>1914</v>
      </c>
      <c r="B255" s="56">
        <v>2.0</v>
      </c>
      <c r="C255" s="56" t="s">
        <v>1668</v>
      </c>
      <c r="D255" s="56">
        <v>40.0</v>
      </c>
      <c r="E255" s="56" t="s">
        <v>1481</v>
      </c>
      <c r="F255" s="56">
        <v>13.0</v>
      </c>
      <c r="G255" s="56" t="s">
        <v>1530</v>
      </c>
      <c r="H255" s="56" t="s">
        <v>1455</v>
      </c>
      <c r="I255" s="57">
        <v>5.0</v>
      </c>
    </row>
    <row r="256">
      <c r="A256" s="55" t="s">
        <v>1915</v>
      </c>
      <c r="B256" s="56">
        <v>6.0</v>
      </c>
      <c r="C256" s="56" t="s">
        <v>1916</v>
      </c>
      <c r="D256" s="56">
        <v>150.0</v>
      </c>
      <c r="E256" s="56" t="s">
        <v>1917</v>
      </c>
      <c r="F256" s="56">
        <v>13.0</v>
      </c>
      <c r="G256" s="56" t="s">
        <v>1918</v>
      </c>
      <c r="H256" s="56" t="s">
        <v>1455</v>
      </c>
      <c r="I256" s="57">
        <v>20.0</v>
      </c>
    </row>
    <row r="257">
      <c r="A257" s="55" t="s">
        <v>1919</v>
      </c>
      <c r="B257" s="56">
        <v>5.0</v>
      </c>
      <c r="C257" s="56" t="s">
        <v>1920</v>
      </c>
      <c r="D257" s="56">
        <v>250.0</v>
      </c>
      <c r="E257" s="56" t="s">
        <v>1457</v>
      </c>
      <c r="F257" s="56">
        <v>13.0</v>
      </c>
      <c r="G257" s="56" t="s">
        <v>69</v>
      </c>
      <c r="H257" s="56" t="s">
        <v>1455</v>
      </c>
      <c r="I257" s="57">
        <v>10.0</v>
      </c>
    </row>
    <row r="258">
      <c r="A258" s="55" t="s">
        <v>1921</v>
      </c>
      <c r="B258" s="56">
        <v>2.0</v>
      </c>
      <c r="C258" s="56" t="s">
        <v>1668</v>
      </c>
      <c r="D258" s="56">
        <v>500.0</v>
      </c>
      <c r="E258" s="56" t="s">
        <v>1457</v>
      </c>
      <c r="F258" s="56">
        <v>13.0</v>
      </c>
      <c r="G258" s="56" t="s">
        <v>69</v>
      </c>
      <c r="H258" s="56" t="s">
        <v>1461</v>
      </c>
      <c r="I258" s="57">
        <v>1.0</v>
      </c>
    </row>
    <row r="259">
      <c r="A259" s="55" t="s">
        <v>1922</v>
      </c>
      <c r="B259" s="56">
        <v>2.0</v>
      </c>
      <c r="C259" s="56" t="s">
        <v>1668</v>
      </c>
      <c r="D259" s="56">
        <v>300.0</v>
      </c>
      <c r="E259" s="56" t="s">
        <v>1457</v>
      </c>
      <c r="F259" s="56">
        <v>13.0</v>
      </c>
      <c r="G259" s="56" t="s">
        <v>69</v>
      </c>
      <c r="H259" s="56" t="s">
        <v>1461</v>
      </c>
      <c r="I259" s="57">
        <v>1.0</v>
      </c>
    </row>
    <row r="260">
      <c r="A260" s="55" t="s">
        <v>1923</v>
      </c>
      <c r="B260" s="56">
        <v>1.0</v>
      </c>
      <c r="C260" s="56" t="s">
        <v>1668</v>
      </c>
      <c r="D260" s="56">
        <v>300.0</v>
      </c>
      <c r="E260" s="56" t="s">
        <v>141</v>
      </c>
      <c r="F260" s="56" t="s">
        <v>796</v>
      </c>
      <c r="G260" s="56" t="s">
        <v>45</v>
      </c>
      <c r="H260" s="56" t="s">
        <v>1807</v>
      </c>
      <c r="I260" s="57">
        <v>40.0</v>
      </c>
    </row>
    <row r="261">
      <c r="A261" s="55" t="s">
        <v>1924</v>
      </c>
      <c r="B261" s="56">
        <v>1.0</v>
      </c>
      <c r="C261" s="56" t="s">
        <v>1668</v>
      </c>
      <c r="D261" s="56">
        <v>500.0</v>
      </c>
      <c r="E261" s="56" t="s">
        <v>141</v>
      </c>
      <c r="F261" s="56" t="s">
        <v>796</v>
      </c>
      <c r="G261" s="56" t="s">
        <v>41</v>
      </c>
      <c r="H261" s="56" t="s">
        <v>1925</v>
      </c>
      <c r="I261" s="57">
        <v>5.0</v>
      </c>
    </row>
    <row r="262">
      <c r="A262" s="55" t="s">
        <v>1926</v>
      </c>
      <c r="B262" s="56">
        <v>1.0</v>
      </c>
      <c r="C262" s="56" t="s">
        <v>1668</v>
      </c>
      <c r="D262" s="56">
        <v>100.0</v>
      </c>
      <c r="E262" s="56" t="s">
        <v>141</v>
      </c>
      <c r="F262" s="56" t="s">
        <v>796</v>
      </c>
      <c r="G262" s="56" t="s">
        <v>1512</v>
      </c>
      <c r="H262" s="56" t="s">
        <v>1807</v>
      </c>
      <c r="I262" s="57">
        <v>5.0</v>
      </c>
    </row>
    <row r="263">
      <c r="A263" s="55" t="s">
        <v>1927</v>
      </c>
      <c r="B263" s="56">
        <v>1.0</v>
      </c>
      <c r="C263" s="56" t="s">
        <v>1668</v>
      </c>
      <c r="D263" s="56">
        <v>50.0</v>
      </c>
      <c r="E263" s="56" t="s">
        <v>141</v>
      </c>
      <c r="F263" s="56" t="s">
        <v>796</v>
      </c>
      <c r="G263" s="56" t="s">
        <v>69</v>
      </c>
      <c r="H263" s="56" t="s">
        <v>1807</v>
      </c>
      <c r="I263" s="57">
        <v>60.0</v>
      </c>
    </row>
    <row r="264">
      <c r="A264" s="55" t="s">
        <v>1928</v>
      </c>
      <c r="B264" s="56">
        <v>1.0</v>
      </c>
      <c r="C264" s="56" t="s">
        <v>1929</v>
      </c>
      <c r="D264" s="56">
        <v>10.0</v>
      </c>
      <c r="E264" s="56" t="s">
        <v>1383</v>
      </c>
      <c r="F264" s="56" t="s">
        <v>796</v>
      </c>
      <c r="G264" s="56" t="s">
        <v>359</v>
      </c>
      <c r="H264" s="56" t="s">
        <v>1807</v>
      </c>
      <c r="I264" s="57">
        <v>120.0</v>
      </c>
    </row>
    <row r="265">
      <c r="A265" s="55" t="s">
        <v>1930</v>
      </c>
      <c r="B265" s="56">
        <v>2.0</v>
      </c>
      <c r="C265" s="56" t="s">
        <v>1931</v>
      </c>
      <c r="D265" s="56">
        <v>5.0</v>
      </c>
      <c r="E265" s="56" t="s">
        <v>1659</v>
      </c>
      <c r="F265" s="56">
        <v>13.0</v>
      </c>
      <c r="G265" s="56" t="s">
        <v>69</v>
      </c>
      <c r="H265" s="56" t="s">
        <v>1472</v>
      </c>
      <c r="I265" s="57">
        <v>120.0</v>
      </c>
    </row>
    <row r="266">
      <c r="A266" s="55" t="s">
        <v>1932</v>
      </c>
      <c r="B266" s="56">
        <v>2.0</v>
      </c>
      <c r="C266" s="56" t="s">
        <v>1668</v>
      </c>
      <c r="D266" s="56">
        <v>7.0</v>
      </c>
      <c r="E266" s="56" t="s">
        <v>1659</v>
      </c>
      <c r="F266" s="56">
        <v>13.0</v>
      </c>
      <c r="G266" s="56" t="s">
        <v>69</v>
      </c>
      <c r="H266" s="56" t="s">
        <v>1472</v>
      </c>
      <c r="I266" s="57">
        <v>120.0</v>
      </c>
    </row>
    <row r="267">
      <c r="A267" s="55" t="s">
        <v>1933</v>
      </c>
      <c r="B267" s="56">
        <v>1.0</v>
      </c>
      <c r="C267" s="56" t="s">
        <v>1668</v>
      </c>
      <c r="D267" s="56">
        <v>1.0</v>
      </c>
      <c r="E267" s="56" t="s">
        <v>1659</v>
      </c>
      <c r="F267" s="56">
        <v>13.0</v>
      </c>
      <c r="G267" s="56" t="s">
        <v>1934</v>
      </c>
      <c r="H267" s="56" t="s">
        <v>1807</v>
      </c>
      <c r="I267" s="57">
        <v>120.0</v>
      </c>
    </row>
    <row r="268">
      <c r="A268" s="55" t="s">
        <v>507</v>
      </c>
      <c r="B268" s="56">
        <v>1.0</v>
      </c>
      <c r="C268" s="56" t="s">
        <v>1668</v>
      </c>
      <c r="D268" s="56">
        <v>40.0</v>
      </c>
      <c r="E268" s="56" t="s">
        <v>148</v>
      </c>
      <c r="F268" s="56">
        <v>10.0</v>
      </c>
      <c r="G268" s="56" t="s">
        <v>1530</v>
      </c>
      <c r="H268" s="56" t="s">
        <v>1537</v>
      </c>
      <c r="I268" s="57">
        <v>60.0</v>
      </c>
    </row>
    <row r="269">
      <c r="A269" s="55" t="s">
        <v>1935</v>
      </c>
      <c r="B269" s="56">
        <v>1.0</v>
      </c>
      <c r="C269" s="56" t="s">
        <v>1668</v>
      </c>
      <c r="D269" s="56">
        <v>30.0</v>
      </c>
      <c r="E269" s="56" t="s">
        <v>148</v>
      </c>
      <c r="F269" s="56">
        <v>10.0</v>
      </c>
      <c r="G269" s="56" t="s">
        <v>1936</v>
      </c>
      <c r="H269" s="56" t="s">
        <v>1537</v>
      </c>
      <c r="I269" s="57">
        <v>60.0</v>
      </c>
    </row>
  </sheetData>
  <hyperlinks>
    <hyperlink r:id="rId1" ref="A62"/>
    <hyperlink r:id="rId2" ref="A200"/>
    <hyperlink r:id="rId3" ref="A226"/>
    <hyperlink r:id="rId4" ref="A238"/>
    <hyperlink r:id="rId5" ref="A255"/>
  </hyperlinks>
  <drawing r:id="rId6"/>
  <tableParts count="1">
    <tablePart r:id="rId8"/>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75"/>
    <col customWidth="1" min="6" max="6" width="19.75"/>
    <col customWidth="1" min="7" max="7" width="19.0"/>
    <col customWidth="1" min="8" max="8" width="22.5"/>
  </cols>
  <sheetData>
    <row r="1">
      <c r="A1" s="59" t="s">
        <v>1939</v>
      </c>
      <c r="D1" s="59"/>
      <c r="E1" s="59"/>
      <c r="F1" s="59"/>
      <c r="G1" s="59"/>
      <c r="H1" s="59"/>
    </row>
    <row r="2">
      <c r="D2" s="59"/>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c r="C62" s="62"/>
    </row>
    <row r="63">
      <c r="C63" s="62"/>
    </row>
    <row r="64">
      <c r="C64" s="62"/>
    </row>
    <row r="65">
      <c r="C65" s="62"/>
    </row>
    <row r="66">
      <c r="C66" s="62"/>
    </row>
    <row r="67">
      <c r="C67" s="62"/>
    </row>
    <row r="68">
      <c r="C68" s="62"/>
    </row>
    <row r="69">
      <c r="C69" s="62"/>
    </row>
    <row r="70">
      <c r="C70" s="62"/>
    </row>
    <row r="71">
      <c r="C71" s="62"/>
    </row>
    <row r="72">
      <c r="C72" s="62"/>
    </row>
    <row r="73">
      <c r="C73" s="62"/>
    </row>
    <row r="74">
      <c r="C74" s="62"/>
    </row>
    <row r="75">
      <c r="C75" s="62"/>
    </row>
    <row r="76">
      <c r="C76" s="62"/>
    </row>
    <row r="77">
      <c r="C77" s="62"/>
    </row>
    <row r="78">
      <c r="C78" s="62"/>
    </row>
    <row r="79">
      <c r="C79" s="62"/>
    </row>
    <row r="80">
      <c r="C80" s="62"/>
    </row>
    <row r="81">
      <c r="C81" s="62"/>
    </row>
    <row r="82">
      <c r="C82" s="62"/>
    </row>
    <row r="83">
      <c r="C83" s="62"/>
    </row>
    <row r="84">
      <c r="C84" s="62"/>
    </row>
    <row r="85">
      <c r="C85" s="62"/>
    </row>
    <row r="86">
      <c r="C86" s="62"/>
    </row>
    <row r="87">
      <c r="C87" s="62"/>
    </row>
    <row r="88">
      <c r="C88" s="62"/>
    </row>
    <row r="89">
      <c r="C89" s="62"/>
    </row>
    <row r="90">
      <c r="C90" s="62"/>
    </row>
    <row r="91">
      <c r="C91" s="62"/>
    </row>
    <row r="92">
      <c r="C92" s="62"/>
    </row>
    <row r="93">
      <c r="C93" s="62"/>
    </row>
    <row r="94">
      <c r="C94" s="62"/>
    </row>
    <row r="95">
      <c r="C95" s="62"/>
    </row>
    <row r="96">
      <c r="C96" s="62"/>
    </row>
    <row r="97">
      <c r="C97" s="62"/>
    </row>
    <row r="98">
      <c r="C98" s="62"/>
    </row>
    <row r="99">
      <c r="C99" s="62"/>
    </row>
    <row r="100">
      <c r="C100" s="62"/>
    </row>
    <row r="101">
      <c r="C101" s="62"/>
    </row>
    <row r="102">
      <c r="C102" s="62"/>
    </row>
    <row r="103">
      <c r="C103" s="62"/>
    </row>
    <row r="104">
      <c r="C104" s="62"/>
    </row>
    <row r="105">
      <c r="C105" s="62"/>
    </row>
    <row r="106">
      <c r="C106" s="62"/>
    </row>
    <row r="107">
      <c r="C107" s="62"/>
    </row>
    <row r="108">
      <c r="C108" s="62"/>
    </row>
    <row r="109">
      <c r="C109" s="62"/>
    </row>
    <row r="110">
      <c r="C110" s="62"/>
    </row>
    <row r="111">
      <c r="C111" s="62"/>
    </row>
    <row r="112">
      <c r="C112" s="62"/>
    </row>
    <row r="113">
      <c r="C113" s="62"/>
    </row>
    <row r="114">
      <c r="C114" s="62"/>
    </row>
    <row r="115">
      <c r="C115" s="62"/>
    </row>
    <row r="116">
      <c r="C116" s="62"/>
    </row>
    <row r="117">
      <c r="C117" s="62"/>
    </row>
    <row r="118">
      <c r="C118" s="62"/>
    </row>
    <row r="119">
      <c r="C119" s="62"/>
    </row>
    <row r="120">
      <c r="C120" s="62"/>
    </row>
    <row r="121">
      <c r="C121" s="62"/>
    </row>
    <row r="122">
      <c r="C122" s="62"/>
    </row>
    <row r="123">
      <c r="C123" s="62"/>
    </row>
    <row r="124">
      <c r="C124" s="62"/>
    </row>
    <row r="125">
      <c r="C125" s="62"/>
    </row>
    <row r="126">
      <c r="C126" s="62"/>
    </row>
    <row r="127">
      <c r="C127" s="62"/>
    </row>
    <row r="128">
      <c r="C128" s="62"/>
    </row>
    <row r="129">
      <c r="C129" s="62"/>
    </row>
    <row r="130">
      <c r="C130" s="62"/>
    </row>
    <row r="131">
      <c r="C131" s="62"/>
    </row>
    <row r="132">
      <c r="C132" s="62"/>
    </row>
    <row r="133">
      <c r="C133" s="62"/>
    </row>
    <row r="134">
      <c r="C134" s="62"/>
    </row>
    <row r="135">
      <c r="C135" s="62"/>
    </row>
    <row r="136">
      <c r="C136" s="62"/>
    </row>
    <row r="137">
      <c r="C137" s="62"/>
    </row>
    <row r="138">
      <c r="C138" s="62"/>
    </row>
    <row r="139">
      <c r="C139" s="62"/>
    </row>
    <row r="140">
      <c r="C140" s="62"/>
    </row>
    <row r="141">
      <c r="C141" s="62"/>
    </row>
    <row r="142">
      <c r="C142" s="62"/>
    </row>
    <row r="143">
      <c r="C143" s="62"/>
    </row>
    <row r="144">
      <c r="C144" s="62"/>
    </row>
    <row r="145">
      <c r="C145" s="62"/>
    </row>
    <row r="146">
      <c r="C146" s="62"/>
    </row>
    <row r="147">
      <c r="C147" s="62"/>
    </row>
    <row r="148">
      <c r="C148" s="62"/>
    </row>
    <row r="149">
      <c r="C149" s="62"/>
    </row>
    <row r="150">
      <c r="C150" s="62"/>
    </row>
    <row r="151">
      <c r="C151" s="62"/>
    </row>
    <row r="152">
      <c r="C152" s="62"/>
    </row>
    <row r="153">
      <c r="C153" s="62"/>
    </row>
    <row r="154">
      <c r="C154" s="62"/>
    </row>
    <row r="155">
      <c r="C155" s="62"/>
    </row>
    <row r="156">
      <c r="C156" s="62"/>
    </row>
    <row r="157">
      <c r="C157" s="62"/>
    </row>
    <row r="158">
      <c r="C158" s="62"/>
    </row>
    <row r="159">
      <c r="C159" s="62"/>
    </row>
    <row r="160">
      <c r="C160" s="62"/>
    </row>
    <row r="161">
      <c r="C161" s="62"/>
    </row>
    <row r="162">
      <c r="C162" s="62"/>
    </row>
    <row r="163">
      <c r="C163" s="62"/>
    </row>
    <row r="164">
      <c r="C164" s="62"/>
    </row>
    <row r="165">
      <c r="C165" s="62"/>
    </row>
    <row r="166">
      <c r="C166" s="62"/>
    </row>
    <row r="167">
      <c r="C167" s="62"/>
    </row>
    <row r="168">
      <c r="C168" s="62"/>
    </row>
    <row r="169">
      <c r="C169" s="62"/>
      <c r="E169" s="64" t="s">
        <v>1969</v>
      </c>
      <c r="F169" s="49"/>
      <c r="G169" s="49"/>
      <c r="H169" s="49"/>
      <c r="I169" s="59"/>
      <c r="J169" s="17"/>
      <c r="K169" s="17"/>
      <c r="L169" s="17"/>
      <c r="N169" s="17"/>
    </row>
    <row r="170">
      <c r="C170" s="62"/>
      <c r="F170" s="49"/>
      <c r="G170" s="49"/>
      <c r="H170" s="49"/>
      <c r="J170" s="17"/>
      <c r="K170" s="17"/>
      <c r="L170" s="17"/>
      <c r="N170" s="17"/>
    </row>
    <row r="171">
      <c r="C171" s="62"/>
      <c r="F171" s="17"/>
      <c r="G171" s="17"/>
      <c r="H171" s="17"/>
      <c r="J171" s="17"/>
      <c r="K171" s="17"/>
      <c r="L171" s="17"/>
      <c r="N171" s="17"/>
    </row>
    <row r="172">
      <c r="C172" s="62"/>
    </row>
    <row r="173">
      <c r="C173" s="62"/>
    </row>
    <row r="174">
      <c r="C174" s="62"/>
    </row>
    <row r="175">
      <c r="C175" s="62"/>
    </row>
    <row r="176">
      <c r="C176" s="62"/>
    </row>
    <row r="177">
      <c r="C177" s="62"/>
    </row>
    <row r="178">
      <c r="C178" s="62"/>
    </row>
    <row r="179">
      <c r="C179" s="62"/>
    </row>
    <row r="180">
      <c r="C180" s="62"/>
    </row>
    <row r="181">
      <c r="C181" s="62"/>
    </row>
    <row r="182">
      <c r="C182" s="62"/>
    </row>
    <row r="183">
      <c r="C183" s="62"/>
    </row>
    <row r="184">
      <c r="C184" s="62"/>
    </row>
    <row r="185">
      <c r="C185" s="62"/>
    </row>
    <row r="186">
      <c r="C186" s="62"/>
    </row>
    <row r="187">
      <c r="C187" s="62"/>
    </row>
    <row r="188">
      <c r="C188" s="62"/>
    </row>
    <row r="189">
      <c r="C189" s="62"/>
    </row>
    <row r="190">
      <c r="C190" s="62"/>
    </row>
    <row r="191">
      <c r="C191" s="62"/>
    </row>
    <row r="192">
      <c r="C192" s="62"/>
    </row>
    <row r="193">
      <c r="C193" s="62"/>
    </row>
    <row r="194">
      <c r="C194" s="62"/>
    </row>
    <row r="195">
      <c r="C195" s="62"/>
    </row>
    <row r="196">
      <c r="C196" s="62"/>
    </row>
    <row r="197">
      <c r="C197" s="62"/>
    </row>
    <row r="198">
      <c r="C198" s="62"/>
    </row>
    <row r="199">
      <c r="C199" s="62"/>
    </row>
    <row r="200">
      <c r="C200" s="62"/>
    </row>
    <row r="201">
      <c r="C201" s="62"/>
    </row>
    <row r="202">
      <c r="C202" s="62"/>
    </row>
    <row r="203">
      <c r="C203" s="62"/>
    </row>
    <row r="204">
      <c r="C204" s="62"/>
    </row>
    <row r="205">
      <c r="C205" s="62"/>
    </row>
    <row r="206">
      <c r="C206" s="62"/>
    </row>
    <row r="207">
      <c r="C207" s="62"/>
    </row>
    <row r="208">
      <c r="C208" s="62"/>
    </row>
    <row r="209">
      <c r="C209" s="62"/>
    </row>
    <row r="210">
      <c r="C210" s="62"/>
    </row>
    <row r="211">
      <c r="C211" s="62"/>
    </row>
    <row r="212">
      <c r="C212" s="62"/>
    </row>
    <row r="213">
      <c r="C213" s="62"/>
    </row>
    <row r="214">
      <c r="C214" s="62"/>
    </row>
    <row r="215">
      <c r="C215" s="62"/>
    </row>
    <row r="216">
      <c r="C216" s="62"/>
    </row>
    <row r="217">
      <c r="C217" s="62"/>
    </row>
    <row r="218">
      <c r="C218" s="62"/>
    </row>
    <row r="219">
      <c r="C219" s="62"/>
    </row>
    <row r="220">
      <c r="C220" s="62"/>
    </row>
    <row r="221">
      <c r="C221" s="62"/>
    </row>
    <row r="222">
      <c r="C222" s="62"/>
    </row>
    <row r="223">
      <c r="C223" s="62"/>
    </row>
    <row r="224">
      <c r="C224" s="62"/>
    </row>
    <row r="225">
      <c r="C225" s="62"/>
    </row>
    <row r="226">
      <c r="C226" s="62"/>
    </row>
    <row r="227">
      <c r="C227" s="62"/>
    </row>
    <row r="228">
      <c r="C228" s="62"/>
    </row>
    <row r="229">
      <c r="C229" s="62"/>
    </row>
    <row r="230">
      <c r="C230" s="62"/>
    </row>
    <row r="231">
      <c r="C231" s="62"/>
    </row>
    <row r="232">
      <c r="C232" s="62"/>
    </row>
    <row r="233">
      <c r="C233" s="62"/>
    </row>
    <row r="234">
      <c r="C234" s="62"/>
    </row>
    <row r="235">
      <c r="C235" s="62"/>
    </row>
    <row r="236">
      <c r="C236" s="62"/>
    </row>
    <row r="237">
      <c r="C237" s="62"/>
    </row>
    <row r="238">
      <c r="C238" s="62"/>
    </row>
    <row r="239">
      <c r="C239" s="62"/>
    </row>
    <row r="240">
      <c r="C240" s="62"/>
    </row>
    <row r="241">
      <c r="C241" s="62"/>
    </row>
    <row r="242">
      <c r="C242" s="62"/>
    </row>
    <row r="243">
      <c r="C243" s="62"/>
    </row>
    <row r="244">
      <c r="C244" s="62"/>
    </row>
    <row r="245">
      <c r="C245" s="62"/>
    </row>
    <row r="246">
      <c r="C246" s="62"/>
    </row>
    <row r="247">
      <c r="C247" s="62"/>
    </row>
    <row r="248">
      <c r="C248" s="62"/>
    </row>
    <row r="249">
      <c r="C249" s="62"/>
    </row>
    <row r="250">
      <c r="C250" s="62"/>
    </row>
    <row r="251">
      <c r="C251" s="62"/>
    </row>
    <row r="252">
      <c r="C252" s="62"/>
    </row>
    <row r="253">
      <c r="C253" s="62"/>
    </row>
    <row r="254">
      <c r="C254" s="62"/>
    </row>
    <row r="255">
      <c r="C255" s="62"/>
    </row>
    <row r="256">
      <c r="C256" s="62"/>
    </row>
    <row r="257">
      <c r="C257" s="62"/>
    </row>
    <row r="258">
      <c r="C258" s="62"/>
    </row>
    <row r="259">
      <c r="C259" s="62"/>
    </row>
    <row r="260">
      <c r="C260" s="62"/>
    </row>
    <row r="261">
      <c r="C261" s="62"/>
    </row>
    <row r="262">
      <c r="C262" s="62"/>
    </row>
    <row r="263">
      <c r="C263" s="62"/>
    </row>
    <row r="264">
      <c r="C264" s="62"/>
    </row>
    <row r="265">
      <c r="C265" s="62"/>
    </row>
    <row r="266">
      <c r="C266" s="62"/>
    </row>
    <row r="267">
      <c r="C267" s="62"/>
    </row>
    <row r="268">
      <c r="C268" s="62"/>
    </row>
    <row r="269">
      <c r="C269" s="62"/>
    </row>
    <row r="270">
      <c r="C270" s="62"/>
    </row>
    <row r="271">
      <c r="C271" s="62"/>
    </row>
    <row r="272">
      <c r="C272" s="62"/>
    </row>
    <row r="273">
      <c r="C273" s="62"/>
    </row>
    <row r="274">
      <c r="C274" s="62"/>
    </row>
    <row r="275">
      <c r="C275" s="62"/>
    </row>
    <row r="276">
      <c r="C276" s="62"/>
    </row>
    <row r="277">
      <c r="C277" s="62"/>
    </row>
    <row r="278">
      <c r="C278" s="62"/>
    </row>
    <row r="279">
      <c r="C279" s="62"/>
    </row>
    <row r="280">
      <c r="C280" s="62"/>
    </row>
    <row r="281">
      <c r="C281" s="62"/>
    </row>
    <row r="282">
      <c r="C282" s="62"/>
    </row>
    <row r="283">
      <c r="C283" s="62"/>
    </row>
    <row r="284">
      <c r="C284" s="62"/>
    </row>
    <row r="285">
      <c r="C285" s="62"/>
    </row>
    <row r="286">
      <c r="C286" s="62"/>
    </row>
    <row r="287">
      <c r="C287" s="62"/>
    </row>
    <row r="288">
      <c r="C288" s="62"/>
    </row>
    <row r="289">
      <c r="C289" s="62"/>
    </row>
    <row r="290">
      <c r="C290" s="62"/>
    </row>
    <row r="291">
      <c r="C291" s="62"/>
    </row>
    <row r="292">
      <c r="C292" s="62"/>
    </row>
    <row r="293">
      <c r="C293" s="62"/>
    </row>
    <row r="294">
      <c r="C294" s="62"/>
    </row>
    <row r="295">
      <c r="C295" s="62"/>
    </row>
    <row r="296">
      <c r="C296" s="62"/>
    </row>
    <row r="297">
      <c r="C297" s="62"/>
    </row>
    <row r="298">
      <c r="C298" s="62"/>
    </row>
    <row r="299">
      <c r="C299" s="62"/>
    </row>
    <row r="300">
      <c r="C300" s="62"/>
    </row>
    <row r="301">
      <c r="C301" s="62"/>
    </row>
    <row r="302">
      <c r="C302" s="62"/>
    </row>
    <row r="303">
      <c r="C303" s="62"/>
    </row>
    <row r="304">
      <c r="C304" s="62"/>
    </row>
    <row r="305">
      <c r="C305" s="62"/>
    </row>
    <row r="306">
      <c r="C306" s="62"/>
    </row>
    <row r="307">
      <c r="C307" s="62"/>
    </row>
    <row r="308">
      <c r="C308" s="62"/>
    </row>
    <row r="309">
      <c r="C309" s="62"/>
    </row>
    <row r="310">
      <c r="C310" s="62"/>
    </row>
    <row r="311">
      <c r="C311" s="62"/>
    </row>
    <row r="312">
      <c r="C312" s="62"/>
    </row>
    <row r="313">
      <c r="C313" s="62"/>
    </row>
    <row r="314">
      <c r="C314" s="62"/>
    </row>
    <row r="315">
      <c r="C315" s="62"/>
    </row>
    <row r="316">
      <c r="C316" s="62"/>
    </row>
    <row r="317">
      <c r="C317" s="62"/>
    </row>
    <row r="318">
      <c r="C318" s="62"/>
    </row>
    <row r="319">
      <c r="C319" s="62"/>
    </row>
    <row r="320">
      <c r="C320" s="62"/>
    </row>
    <row r="321">
      <c r="C321" s="62"/>
    </row>
    <row r="322">
      <c r="C322" s="62"/>
    </row>
    <row r="323">
      <c r="C323" s="62"/>
    </row>
    <row r="324">
      <c r="C324" s="62"/>
    </row>
    <row r="325">
      <c r="C325" s="62"/>
    </row>
    <row r="326">
      <c r="C326" s="62"/>
    </row>
    <row r="327">
      <c r="C327" s="62"/>
    </row>
    <row r="328">
      <c r="C328" s="62"/>
    </row>
    <row r="329">
      <c r="C329" s="62"/>
    </row>
    <row r="330">
      <c r="C330" s="62"/>
    </row>
    <row r="331">
      <c r="C331" s="62"/>
    </row>
    <row r="332">
      <c r="C332" s="62"/>
    </row>
    <row r="333">
      <c r="C333" s="62"/>
    </row>
    <row r="334">
      <c r="C334" s="62"/>
    </row>
    <row r="335">
      <c r="C335" s="62"/>
    </row>
    <row r="336">
      <c r="C336" s="62"/>
    </row>
    <row r="337">
      <c r="C337" s="62"/>
    </row>
    <row r="338">
      <c r="C338" s="62"/>
    </row>
    <row r="339">
      <c r="C339" s="62"/>
    </row>
    <row r="340">
      <c r="C340" s="62"/>
    </row>
    <row r="341">
      <c r="C341" s="62"/>
    </row>
    <row r="342">
      <c r="C342" s="62"/>
    </row>
    <row r="343">
      <c r="C343" s="62"/>
    </row>
    <row r="344">
      <c r="C344" s="62"/>
    </row>
    <row r="345">
      <c r="C345" s="62"/>
    </row>
    <row r="346">
      <c r="C346" s="62"/>
    </row>
    <row r="347">
      <c r="C347" s="62"/>
    </row>
    <row r="348">
      <c r="C348" s="62"/>
    </row>
    <row r="349">
      <c r="C349" s="62"/>
    </row>
    <row r="350">
      <c r="C350" s="62"/>
    </row>
    <row r="351">
      <c r="C351" s="62"/>
    </row>
    <row r="352">
      <c r="C352" s="62"/>
    </row>
    <row r="353">
      <c r="C353" s="62"/>
    </row>
    <row r="354">
      <c r="C354" s="62"/>
    </row>
    <row r="355">
      <c r="C355" s="62"/>
    </row>
    <row r="356">
      <c r="C356" s="62"/>
    </row>
    <row r="357">
      <c r="C357" s="62"/>
    </row>
    <row r="358">
      <c r="C358" s="62"/>
    </row>
    <row r="359">
      <c r="C359" s="62"/>
    </row>
    <row r="360">
      <c r="C360" s="62"/>
    </row>
    <row r="361">
      <c r="C361" s="62"/>
    </row>
    <row r="362">
      <c r="C362" s="62"/>
    </row>
    <row r="363">
      <c r="C363" s="62"/>
    </row>
    <row r="364">
      <c r="C364" s="62"/>
    </row>
    <row r="365">
      <c r="C365" s="62"/>
    </row>
    <row r="366">
      <c r="C366" s="62"/>
    </row>
    <row r="367">
      <c r="C367" s="62"/>
    </row>
    <row r="368">
      <c r="C368" s="62"/>
    </row>
    <row r="369">
      <c r="C369" s="62"/>
    </row>
    <row r="370">
      <c r="C370" s="62"/>
    </row>
    <row r="371">
      <c r="C371" s="62"/>
    </row>
    <row r="372">
      <c r="C372" s="62"/>
    </row>
    <row r="373">
      <c r="C373" s="62"/>
    </row>
    <row r="374">
      <c r="C374" s="62"/>
    </row>
    <row r="375">
      <c r="C375" s="62"/>
    </row>
    <row r="376">
      <c r="C376" s="62"/>
    </row>
    <row r="377">
      <c r="C377" s="62"/>
    </row>
    <row r="378">
      <c r="C378" s="62"/>
    </row>
    <row r="379">
      <c r="C379" s="62"/>
    </row>
    <row r="380">
      <c r="C380" s="62"/>
    </row>
    <row r="381">
      <c r="C381" s="62"/>
    </row>
    <row r="382">
      <c r="C382" s="62"/>
    </row>
    <row r="383">
      <c r="C383" s="62"/>
    </row>
    <row r="384">
      <c r="C384" s="62"/>
    </row>
    <row r="385">
      <c r="C385" s="62"/>
    </row>
    <row r="386">
      <c r="C386" s="62"/>
    </row>
    <row r="387">
      <c r="C387" s="62"/>
    </row>
    <row r="388">
      <c r="C388" s="62"/>
    </row>
    <row r="389">
      <c r="C389" s="62"/>
    </row>
    <row r="390">
      <c r="C390" s="62"/>
    </row>
    <row r="391">
      <c r="C391" s="62"/>
    </row>
    <row r="392">
      <c r="C392" s="62"/>
    </row>
    <row r="393">
      <c r="C393" s="62"/>
    </row>
    <row r="394">
      <c r="C394" s="62"/>
    </row>
    <row r="395">
      <c r="C395" s="62"/>
    </row>
    <row r="396">
      <c r="C396" s="62"/>
    </row>
    <row r="397">
      <c r="C397" s="62"/>
    </row>
    <row r="398">
      <c r="C398" s="62"/>
    </row>
    <row r="399">
      <c r="C399" s="62"/>
    </row>
    <row r="400">
      <c r="C400" s="62"/>
    </row>
    <row r="401">
      <c r="C401" s="62"/>
    </row>
    <row r="402">
      <c r="C402" s="62"/>
    </row>
    <row r="403">
      <c r="C403" s="62"/>
    </row>
    <row r="404">
      <c r="C404" s="62"/>
    </row>
    <row r="405">
      <c r="C405" s="62"/>
    </row>
    <row r="406">
      <c r="C406" s="62"/>
    </row>
    <row r="407">
      <c r="C407" s="62"/>
    </row>
    <row r="408">
      <c r="C408" s="62"/>
    </row>
    <row r="409">
      <c r="C409" s="62"/>
    </row>
    <row r="410">
      <c r="C410" s="62"/>
    </row>
    <row r="411">
      <c r="C411" s="62"/>
    </row>
    <row r="412">
      <c r="C412" s="62"/>
    </row>
    <row r="413">
      <c r="C413" s="62"/>
    </row>
    <row r="414">
      <c r="C414" s="62"/>
    </row>
    <row r="415">
      <c r="C415" s="62"/>
    </row>
    <row r="416">
      <c r="C416" s="62"/>
    </row>
    <row r="417">
      <c r="C417" s="62"/>
    </row>
    <row r="418">
      <c r="C418" s="62"/>
    </row>
    <row r="419">
      <c r="C419" s="62"/>
    </row>
    <row r="420">
      <c r="C420" s="62"/>
    </row>
    <row r="421">
      <c r="C421" s="62"/>
    </row>
    <row r="422">
      <c r="C422" s="62"/>
    </row>
    <row r="423">
      <c r="C423" s="62"/>
    </row>
    <row r="424">
      <c r="C424" s="62"/>
    </row>
    <row r="425">
      <c r="C425" s="62"/>
    </row>
    <row r="426">
      <c r="C426" s="62"/>
    </row>
    <row r="427">
      <c r="C427" s="62"/>
    </row>
    <row r="428">
      <c r="C428" s="62"/>
    </row>
    <row r="429">
      <c r="C429" s="62"/>
    </row>
    <row r="430">
      <c r="C430" s="62"/>
    </row>
    <row r="431">
      <c r="C431" s="62"/>
    </row>
    <row r="432">
      <c r="C432" s="62"/>
    </row>
    <row r="433">
      <c r="C433" s="62"/>
    </row>
    <row r="434">
      <c r="C434" s="62"/>
    </row>
    <row r="435">
      <c r="C435" s="62"/>
    </row>
    <row r="436">
      <c r="C436" s="62"/>
    </row>
    <row r="437">
      <c r="C437" s="62"/>
    </row>
    <row r="438">
      <c r="C438" s="62"/>
    </row>
    <row r="439">
      <c r="C439" s="62"/>
    </row>
    <row r="440">
      <c r="C440" s="62"/>
    </row>
    <row r="441">
      <c r="C441" s="62"/>
    </row>
    <row r="442">
      <c r="C442" s="62"/>
    </row>
    <row r="443">
      <c r="C443" s="62"/>
    </row>
    <row r="444">
      <c r="C444" s="62"/>
    </row>
    <row r="445">
      <c r="C445" s="62"/>
    </row>
    <row r="446">
      <c r="C446" s="62"/>
    </row>
    <row r="447">
      <c r="C447" s="62"/>
    </row>
    <row r="448">
      <c r="C448" s="62"/>
    </row>
    <row r="449">
      <c r="C449" s="62"/>
    </row>
    <row r="450">
      <c r="C450" s="62"/>
    </row>
    <row r="451">
      <c r="C451" s="62"/>
    </row>
    <row r="452">
      <c r="C452" s="62"/>
    </row>
    <row r="453">
      <c r="C453" s="62"/>
    </row>
    <row r="454">
      <c r="C454" s="62"/>
    </row>
    <row r="455">
      <c r="C455" s="62"/>
    </row>
    <row r="456">
      <c r="C456" s="62"/>
    </row>
    <row r="457">
      <c r="C457" s="62"/>
    </row>
    <row r="458">
      <c r="C458" s="62"/>
    </row>
    <row r="459">
      <c r="C459" s="62"/>
    </row>
    <row r="460">
      <c r="C460" s="62"/>
    </row>
    <row r="461">
      <c r="C461" s="62"/>
    </row>
    <row r="462">
      <c r="C462" s="62"/>
    </row>
    <row r="463">
      <c r="C463" s="62"/>
    </row>
    <row r="464">
      <c r="C464" s="62"/>
    </row>
    <row r="465">
      <c r="C465" s="62"/>
    </row>
    <row r="466">
      <c r="C466" s="62"/>
    </row>
    <row r="467">
      <c r="C467" s="62"/>
    </row>
    <row r="468">
      <c r="C468" s="62"/>
    </row>
    <row r="469">
      <c r="C469" s="62"/>
    </row>
    <row r="470">
      <c r="C470" s="62"/>
    </row>
    <row r="471">
      <c r="C471" s="62"/>
    </row>
    <row r="472">
      <c r="C472" s="62"/>
    </row>
    <row r="473">
      <c r="C473" s="62"/>
    </row>
    <row r="474">
      <c r="C474" s="62"/>
    </row>
    <row r="475">
      <c r="C475" s="62"/>
    </row>
    <row r="476">
      <c r="C476" s="62"/>
    </row>
    <row r="477">
      <c r="C477" s="62"/>
    </row>
    <row r="478">
      <c r="C478" s="62"/>
    </row>
    <row r="479">
      <c r="C479" s="62"/>
    </row>
    <row r="480">
      <c r="C480" s="62"/>
    </row>
    <row r="481">
      <c r="C481" s="62"/>
    </row>
    <row r="482">
      <c r="C482" s="62"/>
    </row>
    <row r="483">
      <c r="C483" s="62"/>
    </row>
    <row r="484">
      <c r="C484" s="62"/>
    </row>
    <row r="485">
      <c r="C485" s="62"/>
    </row>
    <row r="486">
      <c r="C486" s="62"/>
    </row>
    <row r="487">
      <c r="C487" s="62"/>
    </row>
    <row r="488">
      <c r="C488" s="62"/>
    </row>
    <row r="489">
      <c r="C489" s="62"/>
    </row>
    <row r="490">
      <c r="C490" s="62"/>
    </row>
    <row r="491">
      <c r="C491" s="62"/>
    </row>
    <row r="492">
      <c r="C492" s="62"/>
    </row>
    <row r="493">
      <c r="C493" s="62"/>
    </row>
    <row r="494">
      <c r="C494" s="62"/>
    </row>
    <row r="495">
      <c r="C495" s="62"/>
    </row>
    <row r="496">
      <c r="C496" s="62"/>
    </row>
    <row r="497">
      <c r="C497" s="62"/>
    </row>
    <row r="498">
      <c r="C498" s="62"/>
    </row>
    <row r="499">
      <c r="C499" s="62"/>
    </row>
    <row r="500">
      <c r="C500" s="62"/>
    </row>
    <row r="501">
      <c r="C501" s="62"/>
    </row>
    <row r="502">
      <c r="C502" s="62"/>
    </row>
    <row r="503">
      <c r="C503" s="62"/>
    </row>
    <row r="504">
      <c r="C504" s="62"/>
    </row>
    <row r="505">
      <c r="C505" s="62"/>
    </row>
    <row r="506">
      <c r="C506" s="62"/>
    </row>
    <row r="507">
      <c r="C507" s="62"/>
    </row>
    <row r="508">
      <c r="C508" s="62"/>
    </row>
    <row r="509">
      <c r="C509" s="62"/>
    </row>
    <row r="510">
      <c r="C510" s="62"/>
    </row>
    <row r="511">
      <c r="C511" s="62"/>
    </row>
    <row r="512">
      <c r="C512" s="62"/>
    </row>
    <row r="513">
      <c r="C513" s="62"/>
    </row>
    <row r="514">
      <c r="C514" s="62"/>
    </row>
    <row r="515">
      <c r="C515" s="62"/>
    </row>
    <row r="516">
      <c r="C516" s="62"/>
    </row>
    <row r="517">
      <c r="C517" s="62"/>
    </row>
    <row r="518">
      <c r="C518" s="62"/>
    </row>
    <row r="519">
      <c r="C519" s="62"/>
    </row>
    <row r="520">
      <c r="C520" s="62"/>
    </row>
    <row r="521">
      <c r="C521" s="62"/>
    </row>
    <row r="522">
      <c r="C522" s="62"/>
    </row>
    <row r="523">
      <c r="C523" s="62"/>
    </row>
    <row r="524">
      <c r="C524" s="62"/>
    </row>
    <row r="525">
      <c r="C525" s="62"/>
    </row>
    <row r="526">
      <c r="C526" s="62"/>
    </row>
    <row r="527">
      <c r="C527" s="62"/>
    </row>
    <row r="528">
      <c r="C528" s="62"/>
    </row>
    <row r="529">
      <c r="C529" s="62"/>
    </row>
    <row r="530">
      <c r="C530" s="62"/>
    </row>
    <row r="531">
      <c r="C531" s="62"/>
    </row>
    <row r="532">
      <c r="C532" s="62"/>
    </row>
    <row r="533">
      <c r="C533" s="62"/>
    </row>
    <row r="534">
      <c r="C534" s="62"/>
    </row>
    <row r="535">
      <c r="C535" s="62"/>
    </row>
    <row r="536">
      <c r="C536" s="62"/>
    </row>
    <row r="537">
      <c r="C537" s="62"/>
    </row>
    <row r="538">
      <c r="C538" s="62"/>
    </row>
    <row r="539">
      <c r="C539" s="62"/>
    </row>
    <row r="540">
      <c r="C540" s="62"/>
    </row>
    <row r="541">
      <c r="C541" s="62"/>
    </row>
    <row r="542">
      <c r="C542" s="62"/>
    </row>
    <row r="543">
      <c r="C543" s="62"/>
    </row>
    <row r="544">
      <c r="C544" s="62"/>
    </row>
    <row r="545">
      <c r="C545" s="62"/>
    </row>
    <row r="546">
      <c r="C546" s="62"/>
    </row>
    <row r="547">
      <c r="C547" s="62"/>
    </row>
    <row r="548">
      <c r="C548" s="62"/>
    </row>
    <row r="549">
      <c r="C549" s="62"/>
    </row>
    <row r="550">
      <c r="C550" s="62"/>
    </row>
    <row r="551">
      <c r="C551" s="62"/>
    </row>
    <row r="552">
      <c r="C552" s="62"/>
    </row>
    <row r="553">
      <c r="C553" s="62"/>
    </row>
    <row r="554">
      <c r="C554" s="62"/>
    </row>
    <row r="555">
      <c r="C555" s="62"/>
    </row>
    <row r="556">
      <c r="C556" s="62"/>
    </row>
    <row r="557">
      <c r="C557" s="62"/>
    </row>
    <row r="558">
      <c r="C558" s="62"/>
    </row>
    <row r="559">
      <c r="C559" s="62"/>
    </row>
    <row r="560">
      <c r="C560" s="62"/>
    </row>
    <row r="561">
      <c r="C561" s="62"/>
    </row>
    <row r="562">
      <c r="C562" s="62"/>
    </row>
    <row r="563">
      <c r="C563" s="62"/>
    </row>
    <row r="564">
      <c r="C564" s="62"/>
    </row>
    <row r="565">
      <c r="C565" s="62"/>
    </row>
    <row r="566">
      <c r="C566" s="62"/>
    </row>
    <row r="567">
      <c r="C567" s="62"/>
    </row>
    <row r="568">
      <c r="C568" s="62"/>
    </row>
    <row r="569">
      <c r="C569" s="62"/>
    </row>
    <row r="570">
      <c r="C570" s="62"/>
    </row>
    <row r="571">
      <c r="C571" s="62"/>
    </row>
    <row r="572">
      <c r="C572" s="62"/>
    </row>
    <row r="573">
      <c r="C573" s="62"/>
    </row>
    <row r="574">
      <c r="C574" s="62"/>
    </row>
    <row r="575">
      <c r="C575" s="62"/>
    </row>
    <row r="576">
      <c r="C576" s="62"/>
    </row>
    <row r="577">
      <c r="C577" s="62"/>
    </row>
    <row r="578">
      <c r="C578" s="62"/>
    </row>
    <row r="579">
      <c r="C579" s="62"/>
    </row>
    <row r="580">
      <c r="C580" s="62"/>
    </row>
    <row r="581">
      <c r="C581" s="62"/>
    </row>
    <row r="582">
      <c r="C582" s="62"/>
    </row>
    <row r="583">
      <c r="C583" s="62"/>
    </row>
    <row r="584">
      <c r="C584" s="62"/>
    </row>
    <row r="585">
      <c r="C585" s="62"/>
    </row>
    <row r="586">
      <c r="C586" s="62"/>
    </row>
    <row r="587">
      <c r="C587" s="62"/>
    </row>
    <row r="588">
      <c r="C588" s="62"/>
    </row>
    <row r="589">
      <c r="C589" s="62"/>
    </row>
    <row r="590">
      <c r="C590" s="62"/>
    </row>
    <row r="591">
      <c r="C591" s="62"/>
    </row>
    <row r="592">
      <c r="C592" s="62"/>
    </row>
    <row r="593">
      <c r="C593" s="62"/>
    </row>
    <row r="594">
      <c r="C594" s="62"/>
    </row>
    <row r="595">
      <c r="C595" s="62"/>
    </row>
    <row r="596">
      <c r="C596" s="62"/>
    </row>
    <row r="597">
      <c r="C597" s="62"/>
    </row>
    <row r="598">
      <c r="C598" s="62"/>
    </row>
    <row r="599">
      <c r="C599" s="62"/>
    </row>
    <row r="600">
      <c r="C600" s="62"/>
    </row>
    <row r="601">
      <c r="C601" s="62"/>
    </row>
    <row r="602">
      <c r="C602" s="62"/>
    </row>
    <row r="603">
      <c r="C603" s="62"/>
    </row>
    <row r="604">
      <c r="C604" s="62"/>
    </row>
    <row r="605">
      <c r="C605" s="62"/>
    </row>
    <row r="606">
      <c r="C606" s="62"/>
    </row>
    <row r="607">
      <c r="C607" s="62"/>
    </row>
    <row r="608">
      <c r="C608" s="62"/>
    </row>
    <row r="609">
      <c r="C609" s="62"/>
    </row>
    <row r="610">
      <c r="C610" s="62"/>
    </row>
    <row r="611">
      <c r="C611" s="62"/>
    </row>
    <row r="612">
      <c r="C612" s="62"/>
    </row>
    <row r="613">
      <c r="C613" s="62"/>
    </row>
    <row r="614">
      <c r="C614" s="62"/>
    </row>
    <row r="615">
      <c r="C615" s="62"/>
    </row>
    <row r="616">
      <c r="C616" s="62"/>
    </row>
    <row r="617">
      <c r="C617" s="62"/>
    </row>
    <row r="618">
      <c r="C618" s="62"/>
    </row>
    <row r="619">
      <c r="C619" s="62"/>
    </row>
    <row r="620">
      <c r="C620" s="62"/>
    </row>
    <row r="621">
      <c r="C621" s="62"/>
    </row>
    <row r="622">
      <c r="C622" s="62"/>
    </row>
    <row r="623">
      <c r="C623" s="62"/>
    </row>
    <row r="624">
      <c r="C624" s="62"/>
    </row>
    <row r="625">
      <c r="C625" s="62"/>
    </row>
    <row r="626">
      <c r="C626" s="62"/>
    </row>
    <row r="627">
      <c r="C627" s="62"/>
    </row>
    <row r="628">
      <c r="C628" s="62"/>
    </row>
    <row r="629">
      <c r="C629" s="62"/>
    </row>
    <row r="630">
      <c r="C630" s="62"/>
    </row>
    <row r="631">
      <c r="C631" s="62"/>
    </row>
    <row r="632">
      <c r="C632" s="62"/>
    </row>
    <row r="633">
      <c r="C633" s="62"/>
    </row>
    <row r="634">
      <c r="C634" s="62"/>
    </row>
    <row r="635">
      <c r="C635" s="62"/>
    </row>
    <row r="636">
      <c r="C636" s="62"/>
    </row>
    <row r="637">
      <c r="C637" s="62"/>
    </row>
    <row r="638">
      <c r="C638" s="62"/>
    </row>
    <row r="639">
      <c r="C639" s="62"/>
    </row>
    <row r="640">
      <c r="C640" s="62"/>
    </row>
    <row r="641">
      <c r="C641" s="62"/>
    </row>
    <row r="642">
      <c r="C642" s="62"/>
    </row>
    <row r="643">
      <c r="C643" s="62"/>
    </row>
    <row r="644">
      <c r="C644" s="62"/>
    </row>
    <row r="645">
      <c r="C645" s="62"/>
    </row>
    <row r="646">
      <c r="C646" s="62"/>
    </row>
    <row r="647">
      <c r="C647" s="62"/>
    </row>
    <row r="648">
      <c r="C648" s="62"/>
    </row>
    <row r="649">
      <c r="C649" s="62"/>
    </row>
    <row r="650">
      <c r="C650" s="62"/>
    </row>
    <row r="651">
      <c r="C651" s="62"/>
    </row>
    <row r="652">
      <c r="C652" s="62"/>
    </row>
    <row r="653">
      <c r="C653" s="62"/>
    </row>
    <row r="654">
      <c r="C654" s="62"/>
    </row>
    <row r="655">
      <c r="C655" s="62"/>
    </row>
    <row r="656">
      <c r="C656" s="62"/>
    </row>
    <row r="657">
      <c r="C657" s="62"/>
    </row>
    <row r="658">
      <c r="C658" s="62"/>
    </row>
    <row r="659">
      <c r="C659" s="62"/>
    </row>
    <row r="660">
      <c r="C660" s="62"/>
    </row>
    <row r="661">
      <c r="C661" s="62"/>
    </row>
    <row r="662">
      <c r="C662" s="62"/>
    </row>
    <row r="663">
      <c r="C663" s="62"/>
    </row>
    <row r="664">
      <c r="C664" s="62"/>
    </row>
    <row r="665">
      <c r="C665" s="62"/>
    </row>
    <row r="666">
      <c r="C666" s="62"/>
    </row>
    <row r="667">
      <c r="C667" s="62"/>
    </row>
    <row r="668">
      <c r="C668" s="62"/>
    </row>
    <row r="669">
      <c r="C669" s="62"/>
    </row>
    <row r="670">
      <c r="C670" s="62"/>
    </row>
    <row r="671">
      <c r="C671" s="62"/>
    </row>
    <row r="672">
      <c r="C672" s="62"/>
    </row>
    <row r="673">
      <c r="C673" s="62"/>
    </row>
    <row r="674">
      <c r="C674" s="62"/>
    </row>
    <row r="675">
      <c r="C675" s="62"/>
    </row>
    <row r="676">
      <c r="C676" s="62"/>
    </row>
    <row r="677">
      <c r="C677" s="62"/>
    </row>
    <row r="678">
      <c r="C678" s="62"/>
    </row>
    <row r="679">
      <c r="C679" s="62"/>
    </row>
    <row r="680">
      <c r="C680" s="62"/>
    </row>
    <row r="681">
      <c r="C681" s="62"/>
    </row>
    <row r="682">
      <c r="C682" s="62"/>
    </row>
    <row r="683">
      <c r="C683" s="62"/>
    </row>
    <row r="684">
      <c r="C684" s="62"/>
    </row>
    <row r="685">
      <c r="C685" s="62"/>
    </row>
    <row r="686">
      <c r="C686" s="62"/>
    </row>
    <row r="687">
      <c r="C687" s="62"/>
    </row>
    <row r="688">
      <c r="C688" s="62"/>
    </row>
    <row r="689">
      <c r="C689" s="62"/>
    </row>
    <row r="690">
      <c r="C690" s="62"/>
    </row>
    <row r="691">
      <c r="C691" s="62"/>
    </row>
    <row r="692">
      <c r="C692" s="62"/>
    </row>
    <row r="693">
      <c r="C693" s="62"/>
    </row>
    <row r="694">
      <c r="C694" s="62"/>
    </row>
    <row r="695">
      <c r="C695" s="62"/>
    </row>
    <row r="696">
      <c r="C696" s="62"/>
    </row>
    <row r="697">
      <c r="C697" s="62"/>
    </row>
    <row r="698">
      <c r="C698" s="62"/>
    </row>
    <row r="699">
      <c r="C699" s="62"/>
    </row>
    <row r="700">
      <c r="C700" s="62"/>
    </row>
    <row r="701">
      <c r="C701" s="62"/>
    </row>
    <row r="702">
      <c r="C702" s="62"/>
    </row>
    <row r="703">
      <c r="C703" s="62"/>
    </row>
    <row r="704">
      <c r="C704" s="62"/>
    </row>
    <row r="705">
      <c r="C705" s="62"/>
    </row>
    <row r="706">
      <c r="C706" s="62"/>
    </row>
    <row r="707">
      <c r="C707" s="62"/>
    </row>
    <row r="708">
      <c r="C708" s="62"/>
    </row>
    <row r="709">
      <c r="C709" s="62"/>
    </row>
    <row r="710">
      <c r="C710" s="62"/>
    </row>
    <row r="711">
      <c r="C711" s="62"/>
    </row>
    <row r="712">
      <c r="C712" s="62"/>
    </row>
    <row r="713">
      <c r="C713" s="62"/>
    </row>
    <row r="714">
      <c r="C714" s="62"/>
    </row>
    <row r="715">
      <c r="C715" s="62"/>
    </row>
    <row r="716">
      <c r="C716" s="62"/>
    </row>
    <row r="717">
      <c r="C717" s="62"/>
    </row>
    <row r="718">
      <c r="C718" s="62"/>
    </row>
    <row r="719">
      <c r="C719" s="62"/>
    </row>
    <row r="720">
      <c r="C720" s="62"/>
    </row>
    <row r="721">
      <c r="C721" s="62"/>
    </row>
    <row r="722">
      <c r="C722" s="62"/>
    </row>
    <row r="723">
      <c r="C723" s="62"/>
    </row>
    <row r="724">
      <c r="C724" s="62"/>
    </row>
    <row r="725">
      <c r="C725" s="62"/>
    </row>
    <row r="726">
      <c r="C726" s="62"/>
    </row>
    <row r="727">
      <c r="C727" s="62"/>
    </row>
    <row r="728">
      <c r="C728" s="62"/>
    </row>
    <row r="729">
      <c r="C729" s="62"/>
    </row>
    <row r="730">
      <c r="C730" s="62"/>
    </row>
    <row r="731">
      <c r="C731" s="62"/>
    </row>
    <row r="732">
      <c r="C732" s="62"/>
    </row>
    <row r="733">
      <c r="C733" s="62"/>
    </row>
    <row r="734">
      <c r="C734" s="62"/>
    </row>
    <row r="735">
      <c r="C735" s="62"/>
    </row>
    <row r="736">
      <c r="C736" s="62"/>
    </row>
    <row r="737">
      <c r="C737" s="62"/>
    </row>
    <row r="738">
      <c r="C738" s="62"/>
    </row>
    <row r="739">
      <c r="C739" s="62"/>
    </row>
    <row r="740">
      <c r="C740" s="62"/>
    </row>
    <row r="741">
      <c r="C741" s="62"/>
    </row>
    <row r="742">
      <c r="C742" s="62"/>
    </row>
    <row r="743">
      <c r="C743" s="62"/>
    </row>
    <row r="744">
      <c r="C744" s="62"/>
    </row>
    <row r="745">
      <c r="C745" s="62"/>
    </row>
    <row r="746">
      <c r="C746" s="62"/>
    </row>
    <row r="747">
      <c r="C747" s="62"/>
    </row>
    <row r="748">
      <c r="C748" s="62"/>
    </row>
    <row r="749">
      <c r="C749" s="62"/>
    </row>
    <row r="750">
      <c r="C750" s="62"/>
    </row>
    <row r="751">
      <c r="C751" s="62"/>
    </row>
    <row r="752">
      <c r="C752" s="62"/>
    </row>
    <row r="753">
      <c r="C753" s="62"/>
    </row>
    <row r="754">
      <c r="C754" s="62"/>
    </row>
    <row r="755">
      <c r="C755" s="62"/>
    </row>
    <row r="756">
      <c r="C756" s="62"/>
    </row>
    <row r="757">
      <c r="C757" s="62"/>
    </row>
    <row r="758">
      <c r="C758" s="62"/>
    </row>
    <row r="759">
      <c r="C759" s="62"/>
    </row>
    <row r="760">
      <c r="C760" s="62"/>
    </row>
    <row r="761">
      <c r="C761" s="62"/>
    </row>
    <row r="762">
      <c r="C762" s="62"/>
    </row>
    <row r="763">
      <c r="C763" s="62"/>
    </row>
    <row r="764">
      <c r="C764" s="62"/>
    </row>
    <row r="765">
      <c r="C765" s="62"/>
    </row>
    <row r="766">
      <c r="C766" s="62"/>
    </row>
    <row r="767">
      <c r="C767" s="62"/>
    </row>
    <row r="768">
      <c r="C768" s="62"/>
    </row>
    <row r="769">
      <c r="C769" s="62"/>
    </row>
    <row r="770">
      <c r="C770" s="62"/>
    </row>
    <row r="771">
      <c r="C771" s="62"/>
    </row>
    <row r="772">
      <c r="C772" s="62"/>
    </row>
    <row r="773">
      <c r="C773" s="62"/>
    </row>
    <row r="774">
      <c r="C774" s="62"/>
    </row>
    <row r="775">
      <c r="C775" s="62"/>
    </row>
    <row r="776">
      <c r="C776" s="62"/>
    </row>
    <row r="777">
      <c r="C777" s="62"/>
    </row>
    <row r="778">
      <c r="C778" s="62"/>
    </row>
    <row r="779">
      <c r="C779" s="62"/>
    </row>
    <row r="780">
      <c r="C780" s="62"/>
    </row>
    <row r="781">
      <c r="C781" s="62"/>
    </row>
    <row r="782">
      <c r="C782" s="62"/>
    </row>
    <row r="783">
      <c r="C783" s="62"/>
    </row>
    <row r="784">
      <c r="C784" s="62"/>
    </row>
    <row r="785">
      <c r="C785" s="62"/>
    </row>
    <row r="786">
      <c r="C786" s="62"/>
    </row>
    <row r="787">
      <c r="C787" s="62"/>
    </row>
    <row r="788">
      <c r="C788" s="62"/>
    </row>
    <row r="789">
      <c r="C789" s="62"/>
    </row>
    <row r="790">
      <c r="C790" s="62"/>
    </row>
    <row r="791">
      <c r="C791" s="62"/>
    </row>
    <row r="792">
      <c r="C792" s="62"/>
    </row>
    <row r="793">
      <c r="C793" s="62"/>
    </row>
    <row r="794">
      <c r="C794" s="62"/>
    </row>
    <row r="795">
      <c r="C795" s="62"/>
    </row>
    <row r="796">
      <c r="C796" s="62"/>
    </row>
    <row r="797">
      <c r="C797" s="62"/>
    </row>
    <row r="798">
      <c r="C798" s="62"/>
    </row>
    <row r="799">
      <c r="C799" s="62"/>
    </row>
    <row r="800">
      <c r="C800" s="62"/>
    </row>
    <row r="801">
      <c r="C801" s="62"/>
    </row>
    <row r="802">
      <c r="C802" s="62"/>
    </row>
    <row r="803">
      <c r="C803" s="62"/>
    </row>
    <row r="804">
      <c r="C804" s="62"/>
    </row>
    <row r="805">
      <c r="C805" s="62"/>
    </row>
    <row r="806">
      <c r="C806" s="62"/>
    </row>
    <row r="807">
      <c r="C807" s="62"/>
    </row>
    <row r="808">
      <c r="C808" s="62"/>
    </row>
    <row r="809">
      <c r="C809" s="62"/>
    </row>
    <row r="810">
      <c r="C810" s="62"/>
    </row>
    <row r="811">
      <c r="C811" s="62"/>
    </row>
    <row r="812">
      <c r="C812" s="62"/>
    </row>
    <row r="813">
      <c r="C813" s="62"/>
    </row>
    <row r="814">
      <c r="C814" s="62"/>
    </row>
    <row r="815">
      <c r="C815" s="62"/>
    </row>
    <row r="816">
      <c r="C816" s="62"/>
    </row>
    <row r="817">
      <c r="C817" s="62"/>
    </row>
    <row r="818">
      <c r="C818" s="62"/>
    </row>
    <row r="819">
      <c r="C819" s="62"/>
    </row>
    <row r="820">
      <c r="C820" s="62"/>
    </row>
    <row r="821">
      <c r="C821" s="62"/>
    </row>
    <row r="822">
      <c r="C822" s="62"/>
    </row>
    <row r="823">
      <c r="C823" s="62"/>
    </row>
    <row r="824">
      <c r="C824" s="62"/>
    </row>
    <row r="825">
      <c r="C825" s="62"/>
    </row>
    <row r="826">
      <c r="C826" s="62"/>
    </row>
    <row r="827">
      <c r="C827" s="62"/>
    </row>
    <row r="828">
      <c r="C828" s="62"/>
    </row>
    <row r="829">
      <c r="C829" s="62"/>
    </row>
    <row r="830">
      <c r="C830" s="62"/>
    </row>
    <row r="831">
      <c r="C831" s="62"/>
    </row>
    <row r="832">
      <c r="C832" s="62"/>
    </row>
    <row r="833">
      <c r="C833" s="62"/>
    </row>
    <row r="834">
      <c r="C834" s="62"/>
    </row>
    <row r="835">
      <c r="C835" s="62"/>
    </row>
    <row r="836">
      <c r="C836" s="62"/>
    </row>
    <row r="837">
      <c r="C837" s="62"/>
    </row>
    <row r="838">
      <c r="C838" s="62"/>
    </row>
    <row r="839">
      <c r="C839" s="62"/>
    </row>
    <row r="840">
      <c r="C840" s="62"/>
    </row>
    <row r="841">
      <c r="C841" s="62"/>
    </row>
    <row r="842">
      <c r="C842" s="62"/>
    </row>
    <row r="843">
      <c r="C843" s="62"/>
    </row>
    <row r="844">
      <c r="C844" s="62"/>
    </row>
    <row r="845">
      <c r="C845" s="62"/>
    </row>
    <row r="846">
      <c r="C846" s="62"/>
    </row>
    <row r="847">
      <c r="C847" s="62"/>
    </row>
    <row r="848">
      <c r="C848" s="62"/>
    </row>
    <row r="849">
      <c r="C849" s="62"/>
    </row>
    <row r="850">
      <c r="C850" s="62"/>
    </row>
    <row r="851">
      <c r="C851" s="62"/>
    </row>
    <row r="852">
      <c r="C852" s="62"/>
    </row>
    <row r="853">
      <c r="C853" s="62"/>
    </row>
    <row r="854">
      <c r="C854" s="62"/>
    </row>
    <row r="855">
      <c r="C855" s="62"/>
    </row>
    <row r="856">
      <c r="C856" s="62"/>
    </row>
    <row r="857">
      <c r="C857" s="62"/>
    </row>
    <row r="858">
      <c r="C858" s="62"/>
    </row>
    <row r="859">
      <c r="C859" s="62"/>
    </row>
    <row r="860">
      <c r="C860" s="62"/>
    </row>
    <row r="861">
      <c r="C861" s="62"/>
    </row>
    <row r="862">
      <c r="C862" s="62"/>
    </row>
    <row r="863">
      <c r="C863" s="62"/>
    </row>
    <row r="864">
      <c r="C864" s="62"/>
    </row>
    <row r="865">
      <c r="C865" s="62"/>
    </row>
    <row r="866">
      <c r="C866" s="62"/>
    </row>
    <row r="867">
      <c r="C867" s="62"/>
    </row>
    <row r="868">
      <c r="C868" s="62"/>
    </row>
    <row r="869">
      <c r="C869" s="62"/>
    </row>
    <row r="870">
      <c r="C870" s="62"/>
    </row>
    <row r="871">
      <c r="C871" s="62"/>
    </row>
    <row r="872">
      <c r="C872" s="62"/>
    </row>
    <row r="873">
      <c r="C873" s="62"/>
    </row>
    <row r="874">
      <c r="C874" s="62"/>
    </row>
    <row r="875">
      <c r="C875" s="62"/>
    </row>
    <row r="876">
      <c r="C876" s="62"/>
    </row>
    <row r="877">
      <c r="C877" s="62"/>
    </row>
    <row r="878">
      <c r="C878" s="62"/>
    </row>
    <row r="879">
      <c r="C879" s="62"/>
    </row>
    <row r="880">
      <c r="C880" s="62"/>
    </row>
    <row r="881">
      <c r="C881" s="62"/>
    </row>
    <row r="882">
      <c r="C882" s="62"/>
    </row>
    <row r="883">
      <c r="C883" s="62"/>
    </row>
    <row r="884">
      <c r="C884" s="62"/>
    </row>
    <row r="885">
      <c r="C885" s="62"/>
    </row>
    <row r="886">
      <c r="C886" s="62"/>
    </row>
    <row r="887">
      <c r="C887" s="62"/>
    </row>
    <row r="888">
      <c r="C888" s="62"/>
    </row>
    <row r="889">
      <c r="C889" s="62"/>
    </row>
    <row r="890">
      <c r="C890" s="62"/>
    </row>
    <row r="891">
      <c r="C891" s="62"/>
    </row>
    <row r="892">
      <c r="C892" s="62"/>
    </row>
    <row r="893">
      <c r="C893" s="62"/>
    </row>
    <row r="894">
      <c r="C894" s="62"/>
    </row>
    <row r="895">
      <c r="C895" s="62"/>
    </row>
    <row r="896">
      <c r="C896" s="62"/>
    </row>
    <row r="897">
      <c r="C897" s="62"/>
    </row>
    <row r="898">
      <c r="C898" s="62"/>
    </row>
    <row r="899">
      <c r="C899" s="62"/>
    </row>
    <row r="900">
      <c r="C900" s="62"/>
    </row>
    <row r="901">
      <c r="C901" s="62"/>
    </row>
    <row r="902">
      <c r="C902" s="62"/>
    </row>
    <row r="903">
      <c r="C903" s="62"/>
    </row>
    <row r="904">
      <c r="C904" s="62"/>
    </row>
    <row r="905">
      <c r="C905" s="62"/>
    </row>
    <row r="906">
      <c r="C906" s="62"/>
    </row>
    <row r="907">
      <c r="C907" s="62"/>
    </row>
    <row r="908">
      <c r="C908" s="62"/>
    </row>
    <row r="909">
      <c r="C909" s="62"/>
    </row>
    <row r="910">
      <c r="C910" s="62"/>
    </row>
    <row r="911">
      <c r="C911" s="62"/>
    </row>
    <row r="912">
      <c r="C912" s="62"/>
    </row>
    <row r="913">
      <c r="C913" s="62"/>
    </row>
    <row r="914">
      <c r="C914" s="62"/>
    </row>
    <row r="915">
      <c r="C915" s="62"/>
    </row>
    <row r="916">
      <c r="C916" s="62"/>
    </row>
    <row r="917">
      <c r="C917" s="62"/>
    </row>
    <row r="918">
      <c r="C918" s="62"/>
    </row>
    <row r="919">
      <c r="C919" s="62"/>
    </row>
    <row r="920">
      <c r="C920" s="62"/>
    </row>
    <row r="921">
      <c r="C921" s="62"/>
    </row>
    <row r="922">
      <c r="C922" s="62"/>
    </row>
    <row r="923">
      <c r="C923" s="62"/>
    </row>
    <row r="924">
      <c r="C924" s="62"/>
    </row>
    <row r="925">
      <c r="C925" s="62"/>
    </row>
    <row r="926">
      <c r="C926" s="62"/>
    </row>
    <row r="927">
      <c r="C927" s="62"/>
    </row>
    <row r="928">
      <c r="C928" s="62"/>
    </row>
    <row r="929">
      <c r="C929" s="62"/>
    </row>
    <row r="930">
      <c r="C930" s="62"/>
    </row>
    <row r="931">
      <c r="C931" s="62"/>
    </row>
    <row r="932">
      <c r="C932" s="62"/>
    </row>
    <row r="933">
      <c r="C933" s="62"/>
    </row>
    <row r="934">
      <c r="C934" s="62"/>
    </row>
    <row r="935">
      <c r="C935" s="62"/>
    </row>
    <row r="936">
      <c r="C936" s="62"/>
    </row>
    <row r="937">
      <c r="C937" s="62"/>
    </row>
    <row r="938">
      <c r="C938" s="62"/>
    </row>
    <row r="939">
      <c r="C939" s="62"/>
    </row>
    <row r="940">
      <c r="C940" s="62"/>
    </row>
    <row r="941">
      <c r="C941" s="62"/>
    </row>
    <row r="942">
      <c r="C942" s="62"/>
    </row>
    <row r="943">
      <c r="C943" s="62"/>
    </row>
    <row r="944">
      <c r="C944" s="62"/>
    </row>
    <row r="945">
      <c r="C945" s="62"/>
    </row>
    <row r="946">
      <c r="C946" s="62"/>
    </row>
    <row r="947">
      <c r="C947" s="62"/>
    </row>
    <row r="948">
      <c r="C948" s="62"/>
    </row>
    <row r="949">
      <c r="C949" s="62"/>
    </row>
    <row r="950">
      <c r="C950" s="62"/>
    </row>
    <row r="951">
      <c r="C951" s="62"/>
    </row>
    <row r="952">
      <c r="C952" s="62"/>
    </row>
    <row r="953">
      <c r="C953" s="62"/>
    </row>
    <row r="954">
      <c r="C954" s="62"/>
    </row>
    <row r="955">
      <c r="C955" s="62"/>
    </row>
    <row r="956">
      <c r="C956" s="62"/>
    </row>
    <row r="957">
      <c r="C957" s="62"/>
    </row>
    <row r="958">
      <c r="C958" s="62"/>
    </row>
    <row r="959">
      <c r="C959" s="62"/>
    </row>
    <row r="960">
      <c r="C960" s="62"/>
    </row>
    <row r="961">
      <c r="C961" s="62"/>
    </row>
    <row r="962">
      <c r="C962" s="62"/>
    </row>
    <row r="963">
      <c r="C963" s="62"/>
    </row>
    <row r="964">
      <c r="C964" s="62"/>
    </row>
    <row r="965">
      <c r="C965" s="62"/>
    </row>
    <row r="966">
      <c r="C966" s="62"/>
    </row>
    <row r="967">
      <c r="C967" s="62"/>
    </row>
    <row r="968">
      <c r="C968" s="62"/>
    </row>
    <row r="969">
      <c r="C969" s="62"/>
    </row>
    <row r="970">
      <c r="C970" s="62"/>
    </row>
    <row r="971">
      <c r="C971" s="62"/>
    </row>
    <row r="972">
      <c r="C972" s="62"/>
    </row>
    <row r="973">
      <c r="C973" s="62"/>
    </row>
    <row r="974">
      <c r="C974" s="62"/>
    </row>
    <row r="975">
      <c r="C975" s="62"/>
    </row>
    <row r="976">
      <c r="C976" s="62"/>
    </row>
    <row r="977">
      <c r="C977" s="62"/>
    </row>
    <row r="978">
      <c r="C978" s="62"/>
    </row>
    <row r="979">
      <c r="C979" s="62"/>
    </row>
    <row r="980">
      <c r="C980" s="62"/>
    </row>
    <row r="981">
      <c r="C981" s="62"/>
    </row>
    <row r="982">
      <c r="C982" s="62"/>
    </row>
    <row r="983">
      <c r="C983" s="62"/>
    </row>
    <row r="984">
      <c r="C984" s="62"/>
    </row>
    <row r="985">
      <c r="C985" s="62"/>
    </row>
    <row r="986">
      <c r="C986" s="62"/>
    </row>
    <row r="987">
      <c r="C987" s="62"/>
    </row>
    <row r="988">
      <c r="C988" s="62"/>
    </row>
    <row r="989">
      <c r="C989" s="62"/>
    </row>
    <row r="990">
      <c r="C990" s="62"/>
    </row>
    <row r="991">
      <c r="C991" s="62"/>
    </row>
    <row r="992">
      <c r="C992" s="62"/>
    </row>
    <row r="993">
      <c r="C993" s="62"/>
    </row>
    <row r="994">
      <c r="C994" s="62"/>
    </row>
    <row r="995">
      <c r="C995" s="62"/>
    </row>
    <row r="996">
      <c r="C996" s="62"/>
    </row>
    <row r="997">
      <c r="C997" s="62"/>
    </row>
    <row r="998">
      <c r="C998" s="62"/>
    </row>
    <row r="999">
      <c r="C999" s="62"/>
    </row>
    <row r="1000">
      <c r="C1000" s="62"/>
    </row>
    <row r="1001">
      <c r="C1001" s="62"/>
    </row>
  </sheetData>
  <mergeCells count="1">
    <mergeCell ref="A1:C1"/>
  </mergeCells>
  <drawing r:id="rId11"/>
</worksheet>
</file>